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f1a7ab3db41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ivas Aura Lab" sheetId="1" r:id="R8de8b0c29bc14ae9"/>
  </x:sheets>
</x:workbook>
</file>

<file path=xl/sharedStrings.xml><?xml version="1.0" encoding="utf-8"?>
<x:sst xmlns:x="http://schemas.openxmlformats.org/spreadsheetml/2006/main">
  <x:si>
    <x:t xml:space="preserve">Aura Lab — Planilha de Estimativas de Esforço</x:t>
  </x:si>
  <x:si>
    <x:t xml:space="preserve">(horas)</x:t>
  </x:si>
  <x:si>
    <x:t xml:space="preserve">:(</x:t>
  </x:si>
  <x:si>
    <x:t xml:space="preserve">:|</x:t>
  </x:si>
  <x:si>
    <x:t xml:space="preserve">:)</x:t>
  </x:si>
  <x:si>
    <x:t xml:space="preserve">ID</x:t>
  </x:si>
  <x:si>
    <x:t xml:space="preserve">Atividade</x:t>
  </x:si>
  <x:si>
    <x:t xml:space="preserve">Otimista</x:t>
  </x:si>
  <x:si>
    <x:t xml:space="preserve">Realista</x:t>
  </x:si>
  <x:si>
    <x:t xml:space="preserve">Pessimista</x:t>
  </x:si>
  <x:si>
    <x:t xml:space="preserve">Certeza</x:t>
  </x:si>
  <x:si>
    <x:t xml:space="preserve">PERT</x:t>
  </x:si>
  <x:si>
    <x:t xml:space="preserve">Descrição / resultado esperado</x:t>
  </x:si>
  <x:si>
    <x:t xml:space="preserve">Planejamento e documentação</x:t>
  </x:si>
  <x:si>
    <x:t xml:space="preserve">DOC-01</x:t>
  </x:si>
  <x:si>
    <x:t xml:space="preserve">Consolidação de requisitos e regras</x:t>
  </x:si>
  <x:si>
    <x:t xml:space="preserve">X</x:t>
  </x:si>
  <x:si>
    <x:t xml:space="preserve">Revisar RFs, RNFs, regras de negócio e o recorte acadêmico do Aura Lab.</x:t>
  </x:si>
  <x:si>
    <x:t xml:space="preserve">DOC-02</x:t>
  </x:si>
  <x:si>
    <x:t xml:space="preserve">Preenchimento do DVP</x:t>
  </x:si>
  <x:si>
    <x:t xml:space="preserve">Registrar objetivo, escopo, premissas, stakeholders, arquitetura e cronograma.</x:t>
  </x:si>
  <x:si>
    <x:t xml:space="preserve">DOC-03</x:t>
  </x:si>
  <x:si>
    <x:t xml:space="preserve">Elaboração e revisão dos diagramas</x:t>
  </x:si>
  <x:si>
    <x:t xml:space="preserve">Produzir diagramas de arquitetura, casos de uso, camadas, sequência, implantação e dados.</x:t>
  </x:si>
  <x:si>
    <x:t xml:space="preserve">DOC-04</x:t>
  </x:si>
  <x:si>
    <x:t xml:space="preserve">WBS, estimativa PERT e Kanban</x:t>
  </x:si>
  <x:si>
    <x:t xml:space="preserve">Decompor entregas em tarefas pequenas, estimar esforço e organizar o acompanhamento.</x:t>
  </x:si>
  <x:si>
    <x:t xml:space="preserve">DOC-05</x:t>
  </x:si>
  <x:si>
    <x:t xml:space="preserve">Matriz de rastreabilidade</x:t>
  </x:si>
  <x:si>
    <x:t xml:space="preserve">Relacionar requisito, tela/caso de uso, endpoint/classe, teste e evidência.</x:t>
  </x:si>
  <x:si>
    <x:t xml:space="preserve">DOC-06</x:t>
  </x:si>
  <x:si>
    <x:t xml:space="preserve">Revisão dos entregáveis acadêmicos</x:t>
  </x:si>
  <x:si>
    <x:t xml:space="preserve">Conferir consistência entre DVP, planilha, diagramas e demonstração.</x:t>
  </x:si>
  <x:si>
    <x:t xml:space="preserve">Banco de dados e fundação técnica</x:t>
  </x:si>
  <x:si>
    <x:t xml:space="preserve">TEC-01</x:t>
  </x:si>
  <x:si>
    <x:t xml:space="preserve">Configuração do ambiente Spring e PostgreSQL</x:t>
  </x:si>
  <x:si>
    <x:t xml:space="preserve">Criar projeto Java 21/Maven, configurar Spring Boot e a conexão de desenvolvimento.</x:t>
  </x:si>
  <x:si>
    <x:t xml:space="preserve">BD-01</x:t>
  </x:si>
  <x:si>
    <x:t xml:space="preserve">Modelo lógico, físico e dicionário de dados</x:t>
  </x:si>
  <x:si>
    <x:t xml:space="preserve">Definir entidades, cardinalidades, chaves e atributos do domínio de beleza.</x:t>
  </x:si>
  <x:si>
    <x:t xml:space="preserve">BD-02</x:t>
  </x:si>
  <x:si>
    <x:t xml:space="preserve">Entidades JPA do catálogo</x:t>
  </x:si>
  <x:si>
    <x:t xml:space="preserve">Mapear Produto, Marca, Categoria, Grupo de Precificação, Imagem e atributos.</x:t>
  </x:si>
  <x:si>
    <x:t xml:space="preserve">BD-03</x:t>
  </x:si>
  <x:si>
    <x:t xml:space="preserve">Dados iniciais do banco</x:t>
  </x:si>
  <x:si>
    <x:t xml:space="preserve">Criar tabelas, chaves, domínios e seeds de produtos e categorias demonstrativas.</x:t>
  </x:si>
  <x:si>
    <x:t xml:space="preserve">BD-04</x:t>
  </x:si>
  <x:si>
    <x:t xml:space="preserve">Repositories e consultas base</x:t>
  </x:si>
  <x:si>
    <x:t xml:space="preserve">Criar acesso JPA para catálogo, pedidos, estoque, cupons e devoluções.</x:t>
  </x:si>
  <x:si>
    <x:t xml:space="preserve">TEC-02</x:t>
  </x:si>
  <x:si>
    <x:t xml:space="preserve">Validação, erros e auditoria base</x:t>
  </x:si>
  <x:si>
    <x:t xml:space="preserve">Padronizar validações, respostas de erro e registro de escrita com ator técnico.</x:t>
  </x:si>
  <x:si>
    <x:t xml:space="preserve">Back-end — catálogo e cupons</x:t>
  </x:si>
  <x:si>
    <x:t xml:space="preserve">CAT-01</x:t>
  </x:si>
  <x:si>
    <x:t xml:space="preserve">DTOs e endpoints de produto/catálogo</x:t>
  </x:si>
  <x:si>
    <x:t xml:space="preserve">Expor contratos REST para consulta e manutenção de produtos sem regra no controller.</x:t>
  </x:si>
  <x:si>
    <x:t xml:space="preserve">CAT-02</x:t>
  </x:si>
  <x:si>
    <x:t xml:space="preserve">CRUD de produtos</x:t>
  </x:si>
  <x:si>
    <x:t xml:space="preserve">Implementar cadastro, alteração, consulta, ativação e inativação de produtos.</x:t>
  </x:si>
  <x:si>
    <x:t xml:space="preserve">CAT-03</x:t>
  </x:si>
  <x:si>
    <x:t xml:space="preserve">Preço, visibilidade e inativação</x:t>
  </x:si>
  <x:si>
    <x:t xml:space="preserve">Aplicar grupo de precificação, código único, motivo/justificativa.</x:t>
  </x:si>
  <x:si>
    <x:t xml:space="preserve">CAT-04</x:t>
  </x:si>
  <x:si>
    <x:t xml:space="preserve">Filtros combinados do catálogo</x:t>
  </x:si>
  <x:si>
    <x:t xml:space="preserve">Pesquisar e filtrar por categoria, marca, tonalidade, acabamento e tipo de pele.</x:t>
  </x:si>
  <x:si>
    <x:t xml:space="preserve">CAT-05</x:t>
  </x:si>
  <x:si>
    <x:t xml:space="preserve">Categorias, marcas, imagens e atributos</x:t>
  </x:si>
  <x:si>
    <x:t xml:space="preserve">Relacionar múltiplas categorias e atributos específicos de maquiagem e skincare.</x:t>
  </x:si>
  <x:si>
    <x:t xml:space="preserve">CUP-01</x:t>
  </x:si>
  <x:si>
    <x:t xml:space="preserve">CRUD e validação de cupons</x:t>
  </x:si>
  <x:si>
    <x:t xml:space="preserve">Gerenciar cupom promocional e validar situação, validade, limite de uso e uso único por pedido.</x:t>
  </x:si>
  <x:si>
    <x:t xml:space="preserve">CAT-06</x:t>
  </x:si>
  <x:si>
    <x:t xml:space="preserve">Testes unitários de catálogo e cupom</x:t>
  </x:si>
  <x:si>
    <x:t xml:space="preserve">Cobrir regras de produto, precificação, visibilidade e validação de cupons com JUnit/Mockito.</x:t>
  </x:si>
  <x:si>
    <x:t xml:space="preserve">Back-end — compra, pedidos e reserva</x:t>
  </x:si>
  <x:si>
    <x:t xml:space="preserve">CLI-01</x:t>
  </x:si>
  <x:si>
    <x:t xml:space="preserve">Cliente demonstrativo e dados de entrega</x:t>
  </x:si>
  <x:si>
    <x:t xml:space="preserve">Modelar dados mínimos do comprador convidado, endereço e perfil demonstrativo, sem login.</x:t>
  </x:si>
  <x:si>
    <x:t xml:space="preserve">VEN-01</x:t>
  </x:si>
  <x:si>
    <x:t xml:space="preserve">Carrinho: incluir, alterar e remover itens</x:t>
  </x:si>
  <x:si>
    <x:t xml:space="preserve">Criar operações de carrinho com validação de produto ativo, visível e disponível.</x:t>
  </x:si>
  <x:si>
    <x:t xml:space="preserve">VEN-02</x:t>
  </x:si>
  <x:si>
    <x:t xml:space="preserve">Reserva temporária e expiração</x:t>
  </x:si>
  <x:si>
    <x:t xml:space="preserve">Criar/renovar reserva por item, controlar expiração pelo último item e liberar disponibilidade.</x:t>
  </x:si>
  <x:si>
    <x:t xml:space="preserve">VEN-03</x:t>
  </x:si>
  <x:si>
    <x:t xml:space="preserve">Frete e validação de entrega</x:t>
  </x:si>
  <x:si>
    <x:t xml:space="preserve">Validar endereço de entrega e calcular frete demonstrativo antes da finalização.</x:t>
  </x:si>
  <x:si>
    <x:t xml:space="preserve">VEN-04</x:t>
  </x:si>
  <x:si>
    <x:t xml:space="preserve">Checkout transacional e criação do pedido</x:t>
  </x:si>
  <x:si>
    <x:t xml:space="preserve">Orquestrar validação final, cupom, pedido EM_PROCESSAMENTO e consistência da transação.</x:t>
  </x:si>
  <x:si>
    <x:t xml:space="preserve">VEN-05</x:t>
  </x:si>
  <x:si>
    <x:t xml:space="preserve">Adaptador de pagamento simulado</x:t>
  </x:si>
  <x:si>
    <x:t xml:space="preserve">Simular aprovação/reprovação de forma determinística sem armazenar cartão ou CVV.</x:t>
  </x:si>
  <x:si>
    <x:t xml:space="preserve">PED-01</x:t>
  </x:si>
  <x:si>
    <x:t xml:space="preserve">Transições de pagamento do pedido</x:t>
  </x:si>
  <x:si>
    <x:t xml:space="preserve">Alterar pedido para APROVADA ou REPROVADA e liberar reserva quando necessário.</x:t>
  </x:si>
  <x:si>
    <x:t xml:space="preserve">PED-02</x:t>
  </x:si>
  <x:si>
    <x:t xml:space="preserve">Despacho e confirmação de entrega</x:t>
  </x:si>
  <x:si>
    <x:t xml:space="preserve">VEN-06</x:t>
  </x:si>
  <x:si>
    <x:t xml:space="preserve">Testes de integração de compra e pedido</x:t>
  </x:si>
  <x:si>
    <x:t xml:space="preserve">Cobrir carrinho, checkout, pagamento aprovado/reprovado e mudança de status.</x:t>
  </x:si>
  <x:si>
    <x:t xml:space="preserve">EST-01</x:t>
  </x:si>
  <x:si>
    <x:t xml:space="preserve">Entrada de estoque e movimentações</x:t>
  </x:si>
  <x:si>
    <x:t xml:space="preserve">Registrar entrada no back-end/banco e manter histórico de movimentações.</x:t>
  </x:si>
  <x:si>
    <x:t xml:space="preserve">EST-02</x:t>
  </x:si>
  <x:si>
    <x:t xml:space="preserve">Cálculo de preço pelo grupo</x:t>
  </x:si>
  <x:si>
    <x:t xml:space="preserve">Calcular preço de venda pelo custo acrescido do percentual do grupo de precificação.</x:t>
  </x:si>
  <x:si>
    <x:t xml:space="preserve">EST-03</x:t>
  </x:si>
  <x:si>
    <x:t xml:space="preserve">Baixa atômica após pagamento aprovado</x:t>
  </x:si>
  <x:si>
    <x:t xml:space="preserve">Converter reserva em baixa definitiva com transação/lock, sem vender acima do disponível.</x:t>
  </x:si>
  <x:si>
    <x:t xml:space="preserve">EST-04</x:t>
  </x:si>
  <x:si>
    <x:t xml:space="preserve">Liberação por reprovação ou expiração</x:t>
  </x:si>
  <x:si>
    <x:t xml:space="preserve">Liberar a reserva e atualizar a disponibilidade quando a compra falhar ou expirar.</x:t>
  </x:si>
  <x:si>
    <x:t xml:space="preserve">POS-01</x:t>
  </x:si>
  <x:si>
    <x:t xml:space="preserve">Fluxo de devolução e reembolso</x:t>
  </x:si>
  <x:si>
    <x:t xml:space="preserve">POS-02</x:t>
  </x:si>
  <x:si>
    <x:t xml:space="preserve">Reentrada de item apto para venda</x:t>
  </x:si>
  <x:si>
    <x:t xml:space="preserve">POS-03</x:t>
  </x:si>
  <x:si>
    <x:t xml:space="preserve">Testes de estoque e pós-venda</x:t>
  </x:si>
  <x:si>
    <x:t xml:space="preserve">Analytics e Consultora Aura</x:t>
  </x:si>
  <x:si>
    <x:t xml:space="preserve">ANA-01</x:t>
  </x:si>
  <x:si>
    <x:t xml:space="preserve">Histórico de vendas e filtro de período</x:t>
  </x:si>
  <x:si>
    <x:t xml:space="preserve">Implementar RF0055/RF0056: consulta por categoria e validação de data inicial/final.</x:t>
  </x:si>
  <x:si>
    <x:t xml:space="preserve">ANA-02</x:t>
  </x:si>
  <x:si>
    <x:t xml:space="preserve">Comparação de categorias e indicadores</x:t>
  </x:si>
  <x:si>
    <x:t xml:space="preserve">Implementar RF0057 e métricas de receita, pedidos, ticket médio e produtos mais vendidos.</x:t>
  </x:si>
  <x:si>
    <x:t xml:space="preserve">ANA-03</x:t>
  </x:si>
  <x:si>
    <x:t xml:space="preserve">Exportação CSV de vendas</x:t>
  </x:si>
  <x:si>
    <x:t xml:space="preserve">Implementar RF0058: exportar período, categoria e valor em formato compatível com planilha.</x:t>
  </x:si>
  <x:si>
    <x:t xml:space="preserve">ANA-04</x:t>
  </x:si>
  <x:si>
    <x:t xml:space="preserve">Dashboard administrativo e gráfico</x:t>
  </x:si>
  <x:si>
    <x:t xml:space="preserve">Exibir filtros, indicadores e gráfico nativo de evolução de vendas.</x:t>
  </x:si>
  <x:si>
    <x:t xml:space="preserve">AURA-01</x:t>
  </x:si>
  <x:si>
    <x:t xml:space="preserve">Recomendação por regras do catálogo</x:t>
  </x:si>
  <x:si>
    <x:t xml:space="preserve">Criar BeautyAdvisor determinístico por tipo de pele, objetivo, categoria e atributos.</x:t>
  </x:si>
  <x:si>
    <x:t xml:space="preserve">AURA-02</x:t>
  </x:si>
  <x:si>
    <x:t xml:space="preserve">Adaptador Gemini e fallback seguro</x:t>
  </x:si>
  <x:si>
    <x:t xml:space="preserve">Integrar provedor de IA quando disponível e preservar o fallback sem decisões transacionais.</x:t>
  </x:si>
  <x:si>
    <x:t xml:space="preserve">AURA-03</x:t>
  </x:si>
  <x:si>
    <x:t xml:space="preserve">Tratamento e testes de mensagens não reconhecidas</x:t>
  </x:si>
  <x:si>
    <x:t xml:space="preserve">Criar respostas de esclarecimento, exemplos de perguntas e cenários de indisponibilidade.</x:t>
  </x:si>
  <x:si>
    <x:t xml:space="preserve">AURA-04</x:t>
  </x:si>
  <x:si>
    <x:t xml:space="preserve">Mapeamento de atributos para recomendação</x:t>
  </x:si>
  <x:si>
    <x:t xml:space="preserve">Preparar os atributos de produto usados pela Aura nas justificativas de recomendação.</x:t>
  </x:si>
  <x:si>
    <x:t xml:space="preserve">Front-end e experiência do usuário</x:t>
  </x:si>
  <x:si>
    <x:t xml:space="preserve">FRONT-01</x:t>
  </x:si>
  <x:si>
    <x:t xml:space="preserve">Estrutura base, navegação e responsividade</x:t>
  </x:si>
  <x:si>
    <x:t xml:space="preserve">Organizar HTML, CSS, Bootstrap e módulos JavaScript do protótipo navegável.</x:t>
  </x:si>
  <x:si>
    <x:t xml:space="preserve">FRONT-02</x:t>
  </x:si>
  <x:si>
    <x:t xml:space="preserve">Catálogo, detalhe, busca e filtros</x:t>
  </x:si>
  <x:si>
    <x:t xml:space="preserve">Construir as telas de navegação e exibição de produtos de beleza.</x:t>
  </x:si>
  <x:si>
    <x:t xml:space="preserve">FRONT-03</x:t>
  </x:si>
  <x:si>
    <x:t xml:space="preserve">Carrinho, reserva e checkout</x:t>
  </x:si>
  <x:si>
    <x:t xml:space="preserve">Exibir fluxos, totais, cupom, dados de entrega e feedback de reserva expirada.</x:t>
  </x:si>
  <x:si>
    <x:t xml:space="preserve">FRONT-04</x:t>
  </x:si>
  <x:si>
    <x:t xml:space="preserve">Perfil, pedidos e devoluções</x:t>
  </x:si>
  <x:si>
    <x:t xml:space="preserve">Apresentar Meu Perfil demonstrativo, histórico, detalhes e solicitação de pós-venda.</x:t>
  </x:si>
  <x:si>
    <x:t xml:space="preserve">FRONT-05</x:t>
  </x:si>
  <x:si>
    <x:t xml:space="preserve">Painel administrativo</x:t>
  </x:si>
  <x:si>
    <x:t xml:space="preserve">Construir telas para produtos, cupons, pedidos e devoluções em modo demonstração.</x:t>
  </x:si>
  <x:si>
    <x:t xml:space="preserve">FRONT-06</x:t>
  </x:si>
  <x:si>
    <x:t xml:space="preserve">Analytics: filtros, gráfico e exportação</x:t>
  </x:si>
  <x:si>
    <x:t xml:space="preserve">Construir a experiência visual do dashboard e o acionamento da exportação CSV.</x:t>
  </x:si>
  <x:si>
    <x:t xml:space="preserve">FRONT-07</x:t>
  </x:si>
  <x:si>
    <x:t xml:space="preserve">Interface do chat Aura</x:t>
  </x:si>
  <x:si>
    <x:t xml:space="preserve">Exibir conversa, recomendações, mensagens de erro e exemplos de perguntas.</x:t>
  </x:si>
  <x:si>
    <x:t xml:space="preserve">FRONT-08</x:t>
  </x:si>
  <x:si>
    <x:t xml:space="preserve">Estados de tela e acessibilidade</x:t>
  </x:si>
  <x:si>
    <x:t xml:space="preserve">Tratar carregamento, vazio, erro, feedback de ação e ajustes de usabilidade.</x:t>
  </x:si>
  <x:si>
    <x:t xml:space="preserve">Testes, validação e entrega</x:t>
  </x:si>
  <x:si>
    <x:t xml:space="preserve">QA-01</x:t>
  </x:si>
  <x:si>
    <x:t xml:space="preserve">Testes funcionais com Selenium</x:t>
  </x:si>
  <x:si>
    <x:t xml:space="preserve">QA-02</x:t>
  </x:si>
  <x:si>
    <x:t xml:space="preserve">Ambiente de integração com Testcontainers</x:t>
  </x:si>
  <x:si>
    <x:t xml:space="preserve">QA-03</x:t>
  </x:si>
  <x:si>
    <x:t xml:space="preserve">Regressão manual e evidências</x:t>
  </x:si>
  <x:si>
    <x:t xml:space="preserve">ENT-01</x:t>
  </x:si>
  <x:si>
    <x:t xml:space="preserve">Guia de execução e contratos da API</x:t>
  </x:si>
  <x:si>
    <x:t xml:space="preserve">Documentar como executar o projeto, migrar o banco e consumir os endpoints.</x:t>
  </x:si>
  <x:si>
    <x:t xml:space="preserve">DEP-01</x:t>
  </x:si>
  <x:si>
    <x:t xml:space="preserve">Configuração de execução</x:t>
  </x:si>
  <x:si>
    <x:t xml:space="preserve">Validar build, variáveis de ambiente e aplicação das migrações no ambiente demonstrativo.</x:t>
  </x:si>
  <x:si>
    <x:t xml:space="preserve">ENT-02</x:t>
  </x:si>
  <x:si>
    <x:t xml:space="preserve">Roteiro e preparação da demonstração</x:t>
  </x:si>
  <x:si>
    <x:t xml:space="preserve">Organizar apresentação final, dados de demo e roteiro dos fluxos principais.</x:t>
  </x:si>
  <x:si>
    <x:t xml:space="preserve">Total base</x:t>
  </x:si>
  <x:si>
    <x:t xml:space="preserve">Estimativa PERT base</x:t>
  </x:si>
  <x:si>
    <x:t xml:space="preserve">Reserva de contingência (15%)</x:t>
  </x:si>
  <x:si>
    <x:t xml:space="preserve">Cobertura para riscos e imprevistos</x:t>
  </x:si>
  <x:si>
    <x:t xml:space="preserve">Esforço planejado do projeto</x:t>
  </x:si>
  <x:si>
    <x:t xml:space="preserve">Base PERT + contingência</x:t>
  </x:si>
</x:sst>
</file>

<file path=xl/styles.xml><?xml version="1.0" encoding="utf-8"?>
<x:styleSheet xmlns:x="http://schemas.openxmlformats.org/spreadsheetml/2006/main">
  <x:numFmts count="2">
    <x:numFmt numFmtId="164" formatCode="0.0"/>
    <x:numFmt numFmtId="200" formatCode="0.00"/>
  </x:numFmts>
  <x:fonts count="14">
    <x:font>
      <x:sz val="11"/>
      <x:color rgb="FF000000"/>
      <x:name val="Carlito"/>
      <x:scheme val="minor"/>
    </x:font>
    <x:font>
      <x:b/>
      <x:sz val="11"/>
      <x:color rgb="FFFFFFFF"/>
      <x:name val="Carlito"/>
    </x:font>
    <x:font>
      <x:i/>
      <x:sz val="11"/>
      <x:color rgb="FF1F2933"/>
      <x:name val="Carlito"/>
    </x:font>
    <x:font>
      <x:b/>
      <x:i/>
      <x:sz val="11"/>
      <x:color rgb="FF9C0006"/>
      <x:name val="Carlito"/>
    </x:font>
    <x:font>
      <x:b/>
      <x:i/>
      <x:sz val="11"/>
      <x:color rgb="FF9C6500"/>
      <x:name val="Carlito"/>
    </x:font>
    <x:font>
      <x:b/>
      <x:i/>
      <x:sz val="11"/>
      <x:color rgb="FF006100"/>
      <x:name val="Carlito"/>
    </x:font>
    <x:font>
      <x:b/>
      <x:sz val="11"/>
      <x:color rgb="FF1F2933"/>
      <x:name val="Carlito"/>
    </x:font>
    <x:font/>
    <x:font>
      <x:sz val="11"/>
      <x:color rgb="FF1F2933"/>
      <x:name val="Carlito"/>
    </x:font>
    <x:font>
      <x:sz val="11"/>
      <x:color theme="1"/>
      <x:name val="Carlito"/>
    </x:font>
    <x:font>
      <x:sz val="10"/>
      <x:color rgb="FF000000"/>
      <x:name val="Arial"/>
      <x:scheme val="minor"/>
    </x:font>
    <x:font>
      <x:b/>
      <x:sz val="14"/>
      <x:color rgb="FF000000"/>
      <x:name val="Arial"/>
      <x:scheme val="minor"/>
    </x:font>
    <x:font>
      <x:b/>
      <x:sz val="10"/>
      <x:color rgb="FF000000"/>
      <x:name val="Arial"/>
      <x:scheme val="minor"/>
    </x:font>
    <x:font>
      <x:i/>
      <x:sz val="10"/>
      <x:color rgb="FF000000"/>
      <x:name val="Arial"/>
      <x:scheme val="minor"/>
    </x:font>
  </x:fonts>
  <x:fills count="8">
    <x:fill>
      <x:patternFill patternType="none"/>
    </x:fill>
    <x:fill>
      <x:patternFill patternType="lightGray"/>
    </x:fill>
    <x:fill>
      <x:patternFill patternType="solid">
        <x:fgColor rgb="FF325D8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5">
    <x:border/>
    <x:border>
      <x:left style="thin">
        <x:color rgb="FFC9D7E5"/>
      </x:left>
      <x:right style="thin">
        <x:color rgb="FFC9D7E5"/>
      </x:right>
      <x:top style="thin">
        <x:color rgb="FFC9D7E5"/>
      </x:top>
      <x:bottom style="thin">
        <x:color rgb="FFC9D7E5"/>
      </x:bottom>
    </x:border>
    <x:border>
      <x:left style="thin">
        <x:color rgb="FFC9D7E5"/>
      </x:left>
      <x:top style="thin">
        <x:color rgb="FFC9D7E5"/>
      </x:top>
      <x:bottom style="thin">
        <x:color rgb="FFC9D7E5"/>
      </x:bottom>
    </x:border>
    <x:border>
      <x:top style="thin">
        <x:color rgb="FFC9D7E5"/>
      </x:top>
      <x:bottom style="thin">
        <x:color rgb="FFC9D7E5"/>
      </x:bottom>
    </x:border>
    <x:border>
      <x:right style="thin">
        <x:color rgb="FFC9D7E5"/>
      </x:right>
      <x:top style="thin">
        <x:color rgb="FFC9D7E5"/>
      </x:top>
      <x:bottom style="thin">
        <x:color rgb="FFC9D7E5"/>
      </x:bottom>
    </x:border>
    <x:border>
      <x:right style="thin">
        <x:color rgb="FFE6EDF3"/>
      </x:right>
    </x:border>
    <x:border>
      <x:left style="thin">
        <x:color rgb="FFE6EDF3"/>
      </x:left>
      <x:right style="thin">
        <x:color rgb="FFE6EDF3"/>
      </x:right>
    </x:border>
    <x:border>
      <x:left style="thin">
        <x:color rgb="FFE6EDF3"/>
      </x:left>
    </x:border>
    <x:border>
      <x:bottom style="double">
        <x:color rgb="FF325D88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medium">
        <x:color rgb="FF325D88"/>
      </x:left>
      <x:top style="medium">
        <x:color rgb="FF325D88"/>
      </x:top>
      <x:bottom style="medium">
        <x:color rgb="FF325D88"/>
      </x:bottom>
    </x:border>
    <x:border>
      <x:top style="medium">
        <x:color rgb="FF325D88"/>
      </x:top>
      <x:bottom style="medium">
        <x:color rgb="FF325D88"/>
      </x:bottom>
    </x:border>
    <x:border>
      <x:right style="medium">
        <x:color rgb="FF325D88"/>
      </x:right>
      <x:top style="medium">
        <x:color rgb="FF325D88"/>
      </x:top>
      <x:bottom style="medium">
        <x:color rgb="FF325D88"/>
      </x:bottom>
    </x:border>
  </x:borders>
  <x:cellStyleXfs count="1">
    <x:xf numFmtId="0" fontId="0" fillId="0" borderId="0" applyFont="1" applyAlignment="1"/>
  </x:cellStyleXfs>
  <x:cellXfs count="46">
    <x:xf numFmtId="0" fontId="0" fillId="0" borderId="0" xfId="0" applyFont="1" applyAlignment="1">
      <x:alignment vertical="bottom" wrapText="0" shrinkToFit="0"/>
    </x:xf>
    <x:xf numFmtId="0" fontId="1" fillId="2" borderId="0" xfId="0" applyFont="1" applyFill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4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center" vertical="center"/>
    </x:xf>
    <x:xf numFmtId="0" fontId="6" fillId="6" borderId="1" xfId="0" applyFont="1" applyFill="1" applyBorder="1" applyAlignment="1">
      <x:alignment horizontal="center" vertical="center" wrapText="1" shrinkToFit="0"/>
    </x:xf>
    <x:xf numFmtId="0" fontId="6" fillId="6" borderId="2" xfId="0" applyFont="1" applyFill="1" applyBorder="1" applyAlignment="1">
      <x:alignment horizontal="center" vertical="center" wrapText="1" shrinkToFit="0"/>
    </x:xf>
    <x:xf numFmtId="0" fontId="7" fillId="0" borderId="3" xfId="0" applyFont="1" applyBorder="1"/>
    <x:xf numFmtId="0" fontId="7" fillId="0" borderId="4" xfId="0" applyFont="1" applyBorder="1"/>
    <x:xf numFmtId="0" fontId="6" fillId="7" borderId="2" xfId="0" applyFont="1" applyFill="1" applyBorder="1" applyAlignment="1">
      <x:alignment horizontal="left" vertical="center"/>
    </x:xf>
    <x:xf numFmtId="0" fontId="6" fillId="7" borderId="3" xfId="0" applyFont="1" applyFill="1" applyBorder="1" applyAlignment="1">
      <x:alignment horizontal="left" vertical="center"/>
    </x:xf>
    <x:xf numFmtId="0" fontId="8" fillId="0" borderId="5" xfId="0" applyFont="1" applyBorder="1" applyAlignment="1">
      <x:alignment horizontal="center" vertical="center" wrapText="1" shrinkToFit="0"/>
    </x:xf>
    <x:xf numFmtId="0" fontId="8" fillId="0" borderId="6" xfId="0" applyFont="1" applyBorder="1" applyAlignment="1">
      <x:alignment vertical="center" wrapText="1" shrinkToFit="0"/>
    </x:xf>
    <x:xf numFmtId="164" fontId="8" fillId="0" borderId="6" xfId="0" applyNumberFormat="1" applyFont="1" applyBorder="1" applyAlignment="1">
      <x:alignment horizontal="center" vertical="center" wrapText="1" shrinkToFit="0"/>
    </x:xf>
    <x:xf numFmtId="0" fontId="6" fillId="3" borderId="6" xfId="0" applyFont="1" applyFill="1" applyBorder="1" applyAlignment="1">
      <x:alignment horizontal="center" vertical="center" wrapText="1" shrinkToFit="0"/>
    </x:xf>
    <x:xf numFmtId="0" fontId="6" fillId="4" borderId="6" xfId="0" applyFont="1" applyFill="1" applyBorder="1" applyAlignment="1">
      <x:alignment horizontal="center" vertical="center" wrapText="1" shrinkToFit="0"/>
    </x:xf>
    <x:xf numFmtId="0" fontId="6" fillId="5" borderId="6" xfId="0" applyFont="1" applyFill="1" applyBorder="1" applyAlignment="1">
      <x:alignment horizontal="center" vertical="center" wrapText="1" shrinkToFit="0"/>
    </x:xf>
    <x:xf numFmtId="0" fontId="8" fillId="0" borderId="7" xfId="0" applyFont="1" applyBorder="1" applyAlignment="1">
      <x:alignment vertical="center" wrapText="1" shrinkToFit="0"/>
    </x:xf>
    <x:xf numFmtId="164" fontId="8" fillId="0" borderId="6" xfId="0" applyNumberFormat="1" applyFont="1" applyBorder="1" applyAlignment="1">
      <x:alignment horizontal="center" vertical="center" wrapText="1" shrinkToFit="0"/>
    </x:xf>
    <x:xf numFmtId="0" fontId="6" fillId="5" borderId="6" xfId="0" applyFont="1" applyFill="1" applyBorder="1" applyAlignment="1">
      <x:alignment horizontal="center" vertical="center" wrapText="1" shrinkToFit="0"/>
    </x:xf>
    <x:xf numFmtId="0" fontId="6" fillId="3" borderId="6" xfId="0" applyFont="1" applyFill="1" applyBorder="1" applyAlignment="1">
      <x:alignment horizontal="center" vertical="center" wrapText="1" shrinkToFit="0"/>
    </x:xf>
    <x:xf numFmtId="0" fontId="8" fillId="0" borderId="6" xfId="0" applyFont="1" applyBorder="1" applyAlignment="1">
      <x:alignment vertical="center" wrapText="1" shrinkToFit="0"/>
    </x:xf>
    <x:xf numFmtId="0" fontId="8" fillId="0" borderId="7" xfId="0" applyFont="1" applyBorder="1" applyAlignment="1">
      <x:alignment vertical="center" wrapText="1" shrinkToFit="0"/>
    </x:xf>
    <x:xf numFmtId="164" fontId="9" fillId="0" borderId="0" xfId="0" applyNumberFormat="1" applyFont="1"/>
    <x:xf numFmtId="0" fontId="6" fillId="6" borderId="8" xfId="0" applyFont="1" applyFill="1" applyBorder="1" applyAlignment="1">
      <x:alignment vertical="center"/>
    </x:xf>
    <x:xf numFmtId="0" fontId="7" fillId="0" borderId="8" xfId="0" applyFont="1" applyBorder="1"/>
    <x:xf numFmtId="164" fontId="6" fillId="6" borderId="8" xfId="0" applyNumberFormat="1" applyFont="1" applyFill="1" applyBorder="1" applyAlignment="1">
      <x:alignment vertical="center"/>
    </x:xf>
    <x:xf numFmtId="0" fontId="6" fillId="4" borderId="9" xfId="0" applyFont="1" applyFill="1" applyBorder="1" applyAlignment="1">
      <x:alignment vertical="center"/>
    </x:xf>
    <x:xf numFmtId="0" fontId="7" fillId="0" borderId="10" xfId="0" applyFont="1" applyBorder="1"/>
    <x:xf numFmtId="164" fontId="6" fillId="4" borderId="10" xfId="0" applyNumberFormat="1" applyFont="1" applyFill="1" applyBorder="1" applyAlignment="1">
      <x:alignment vertical="center"/>
    </x:xf>
    <x:xf numFmtId="0" fontId="6" fillId="4" borderId="11" xfId="0" applyFont="1" applyFill="1" applyBorder="1" applyAlignment="1">
      <x:alignment vertical="center"/>
    </x:xf>
    <x:xf numFmtId="0" fontId="1" fillId="2" borderId="12" xfId="0" applyFont="1" applyFill="1" applyBorder="1" applyAlignment="1">
      <x:alignment vertical="center"/>
    </x:xf>
    <x:xf numFmtId="0" fontId="7" fillId="0" borderId="13" xfId="0" applyFont="1" applyBorder="1"/>
    <x:xf numFmtId="164" fontId="1" fillId="2" borderId="13" xfId="0" applyNumberFormat="1" applyFont="1" applyFill="1" applyBorder="1" applyAlignment="1">
      <x:alignment vertical="center"/>
    </x:xf>
    <x:xf numFmtId="0" fontId="1" fillId="2" borderId="14" xfId="0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bottom" wrapText="0"/>
    </x:xf>
    <x:xf numFmtId="0" fontId="10" fillId="0" borderId="0" xfId="0" applyNumberFormat="1" applyFont="1" applyFill="1" applyBorder="1" applyAlignment="1">
      <x:alignment vertical="bottom" wrapText="1"/>
    </x:xf>
    <x:xf numFmtId="0" fontId="10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bottom" wrapText="0"/>
    </x:xf>
    <x:xf numFmtId="0" fontId="10" fillId="0" borderId="0" xfId="0" applyNumberFormat="1" applyFont="1" applyFill="1" applyBorder="1" applyAlignment="1">
      <x:alignment vertical="center" wrapText="0"/>
    </x:xf>
    <x:xf numFmtId="200" fontId="1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bottom" wrapText="0"/>
    </x:xf>
    <x:xf numFmtId="0" fontId="12" fillId="0" borderId="0" xfId="0" applyNumberFormat="1" applyFont="1" applyFill="1" applyBorder="1" applyAlignment="1">
      <x:alignment vertical="bottom" wrapText="0"/>
    </x:xf>
    <x:xf numFmtId="200" fontId="12" fillId="0" borderId="0" xfId="0" applyNumberFormat="1" applyFont="1" applyFill="1" applyBorder="1" applyAlignment="1">
      <x:alignment vertical="bottom" wrapText="0"/>
    </x:xf>
    <x:xf numFmtId="0" fontId="13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33425f293a4621" /><Relationship Type="http://schemas.openxmlformats.org/officeDocument/2006/relationships/theme" Target="/xl/theme/theme1.xml" Id="Rf7d5e19e7bd14b42" /><Relationship Type="http://schemas.openxmlformats.org/officeDocument/2006/relationships/sharedStrings" Target="/xl/sharedStrings.xml" Id="R33928285728c48f5" /><Relationship Type="http://schemas.openxmlformats.org/officeDocument/2006/relationships/worksheet" Target="/xl/worksheets/sheet1.xml" Id="R8de8b0c29bc14ae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customWidth="1"/>
    <x:col min="2" max="2" width="37" customWidth="1"/>
    <x:col min="3" max="5" width="12" customWidth="1"/>
    <x:col min="6" max="8" width="8" customWidth="1"/>
    <x:col min="9" max="9" width="12" customWidth="1"/>
    <x:col min="10" max="10" width="68" customWidth="1"/>
    <x:col min="11" max="26" width="8.630000114440918" customWidth="1"/>
    <x:col min="11" max="11" width="30" hidden="0" customWidth="1"/>
  </x:cols>
  <x:sheetData>
    <x:row r="1" ht="27.75" customHeight="1">
      <x:c r="A1" s="1" t="s">
        <x:v>0</x:v>
      </x:c>
    </x:row>
    <x:row r="2">
      <x:c r="A2" s="2"/>
      <x:c r="B2" s="2"/>
      <x:c r="C2" s="2" t="s">
        <x:v>1</x:v>
      </x:c>
      <x:c r="D2" s="2" t="s">
        <x:v>1</x:v>
      </x:c>
      <x:c r="E2" s="2" t="s">
        <x:v>1</x:v>
      </x:c>
      <x:c r="F2" s="3" t="s">
        <x:v>2</x:v>
      </x:c>
      <x:c r="G2" s="4" t="s">
        <x:v>3</x:v>
      </x:c>
      <x:c r="H2" s="5" t="s">
        <x:v>4</x:v>
      </x:c>
      <x:c r="I2" s="2" t="s">
        <x:v>1</x:v>
      </x:c>
      <x:c r="J2" s="2" t="str">
        <x:v>Certeza: :( baixa | :| média | :) alta. Situação UC05 na coluna K.</x:v>
      </x:c>
    </x:row>
    <x:row r="3" ht="30" customHeight="1">
      <x:c r="A3" s="6" t="s">
        <x:v>5</x:v>
      </x:c>
      <x:c r="B3" s="6" t="s">
        <x:v>6</x:v>
      </x:c>
      <x:c r="C3" s="6" t="s">
        <x:v>7</x:v>
      </x:c>
      <x:c r="D3" s="6" t="s">
        <x:v>8</x:v>
      </x:c>
      <x:c r="E3" s="6" t="s">
        <x:v>9</x:v>
      </x:c>
      <x:c r="F3" s="7" t="s">
        <x:v>10</x:v>
      </x:c>
      <x:c r="G3" s="8"/>
      <x:c r="H3" s="9"/>
      <x:c r="I3" s="6" t="s">
        <x:v>11</x:v>
      </x:c>
      <x:c r="J3" s="6" t="s">
        <x:v>12</x:v>
      </x:c>
      <x:c r="K3" s="6" t="str">
        <x:v>Situação UC05</x:v>
      </x:c>
    </x:row>
    <x:row r="4" ht="21" customHeight="1">
      <x:c r="A4" s="10"/>
      <x:c r="B4" s="11" t="s">
        <x:v>13</x:v>
      </x:c>
      <x:c r="C4" s="8"/>
      <x:c r="D4" s="8"/>
      <x:c r="E4" s="8"/>
      <x:c r="F4" s="8"/>
      <x:c r="G4" s="8"/>
      <x:c r="H4" s="8"/>
      <x:c r="I4" s="8"/>
      <x:c r="J4" s="9"/>
      <x:c r="K4" s="38"/>
    </x:row>
    <x:row r="5" ht="33.75" customHeight="1">
      <x:c r="A5" s="12" t="s">
        <x:v>14</x:v>
      </x:c>
      <x:c r="B5" s="13" t="s">
        <x:v>15</x:v>
      </x:c>
      <x:c r="C5" s="14">
        <x:v>2.0</x:v>
      </x:c>
      <x:c r="D5" s="14">
        <x:v>3.0</x:v>
      </x:c>
      <x:c r="E5" s="14">
        <x:v>4.0</x:v>
      </x:c>
      <x:c r="F5" s="15"/>
      <x:c r="G5" s="16"/>
      <x:c r="H5" s="17" t="s">
        <x:v>16</x:v>
      </x:c>
      <x:c r="I5" s="14" t="n">
        <x:f t="shared" ref="I5:I10" si="1">(C5+4*D5+E5)/6</x:f>
        <x:v>3</x:v>
      </x:c>
      <x:c r="J5" s="18" t="s">
        <x:v>17</x:v>
      </x:c>
      <x:c r="K5" s="38" t="str">
        <x:v>Implementado</x:v>
      </x:c>
    </x:row>
    <x:row r="6" ht="33.75" customHeight="1">
      <x:c r="A6" s="12" t="s">
        <x:v>18</x:v>
      </x:c>
      <x:c r="B6" s="13" t="s">
        <x:v>19</x:v>
      </x:c>
      <x:c r="C6" s="14">
        <x:v>1.5</x:v>
      </x:c>
      <x:c r="D6" s="14">
        <x:v>3.0</x:v>
      </x:c>
      <x:c r="E6" s="14">
        <x:v>4.5</x:v>
      </x:c>
      <x:c r="F6" s="15"/>
      <x:c r="G6" s="16" t="s">
        <x:v>16</x:v>
      </x:c>
      <x:c r="H6" s="17"/>
      <x:c r="I6" s="14">
        <x:f t="shared" si="1"/>
        <x:v>3</x:v>
      </x:c>
      <x:c r="J6" s="18" t="s">
        <x:v>20</x:v>
      </x:c>
      <x:c r="K6" s="38" t="str">
        <x:v>Implementado</x:v>
      </x:c>
    </x:row>
    <x:row r="7" ht="33.75" customHeight="1">
      <x:c r="A7" s="12" t="s">
        <x:v>21</x:v>
      </x:c>
      <x:c r="B7" s="13" t="s">
        <x:v>22</x:v>
      </x:c>
      <x:c r="C7" s="14">
        <x:v>1.5</x:v>
      </x:c>
      <x:c r="D7" s="14">
        <x:v>3.0</x:v>
      </x:c>
      <x:c r="E7" s="14">
        <x:v>4.5</x:v>
      </x:c>
      <x:c r="F7" s="15"/>
      <x:c r="G7" s="16" t="s">
        <x:v>16</x:v>
      </x:c>
      <x:c r="H7" s="17"/>
      <x:c r="I7" s="14">
        <x:f t="shared" si="1"/>
        <x:v>3</x:v>
      </x:c>
      <x:c r="J7" s="18" t="s">
        <x:v>23</x:v>
      </x:c>
      <x:c r="K7" s="38" t="str">
        <x:v>Implementado</x:v>
      </x:c>
    </x:row>
    <x:row r="8" ht="33.75" customHeight="1">
      <x:c r="A8" s="12" t="s">
        <x:v>24</x:v>
      </x:c>
      <x:c r="B8" s="13" t="s">
        <x:v>25</x:v>
      </x:c>
      <x:c r="C8" s="14">
        <x:v>1.5</x:v>
      </x:c>
      <x:c r="D8" s="14">
        <x:v>3.0</x:v>
      </x:c>
      <x:c r="E8" s="14">
        <x:v>4.5</x:v>
      </x:c>
      <x:c r="F8" s="15"/>
      <x:c r="G8" s="16" t="s">
        <x:v>16</x:v>
      </x:c>
      <x:c r="H8" s="17"/>
      <x:c r="I8" s="14">
        <x:f t="shared" si="1"/>
        <x:v>3</x:v>
      </x:c>
      <x:c r="J8" s="18" t="s">
        <x:v>26</x:v>
      </x:c>
      <x:c r="K8" s="38" t="str">
        <x:v>Implementado</x:v>
      </x:c>
    </x:row>
    <x:row r="9" ht="33.75" customHeight="1">
      <x:c r="A9" s="12" t="s">
        <x:v>27</x:v>
      </x:c>
      <x:c r="B9" s="13" t="s">
        <x:v>28</x:v>
      </x:c>
      <x:c r="C9" s="14">
        <x:v>1.0</x:v>
      </x:c>
      <x:c r="D9" s="14">
        <x:v>2.0</x:v>
      </x:c>
      <x:c r="E9" s="14">
        <x:v>3.0</x:v>
      </x:c>
      <x:c r="F9" s="15"/>
      <x:c r="G9" s="16"/>
      <x:c r="H9" s="17" t="s">
        <x:v>16</x:v>
      </x:c>
      <x:c r="I9" s="14">
        <x:f t="shared" si="1"/>
        <x:v>2</x:v>
      </x:c>
      <x:c r="J9" s="18" t="s">
        <x:v>29</x:v>
      </x:c>
      <x:c r="K9" s="38" t="str">
        <x:v>Implementado</x:v>
      </x:c>
    </x:row>
    <x:row r="10" ht="33.75" customHeight="1">
      <x:c r="A10" s="12" t="s">
        <x:v>30</x:v>
      </x:c>
      <x:c r="B10" s="13" t="s">
        <x:v>31</x:v>
      </x:c>
      <x:c r="C10" s="14">
        <x:v>1.0</x:v>
      </x:c>
      <x:c r="D10" s="14">
        <x:v>2.0</x:v>
      </x:c>
      <x:c r="E10" s="14">
        <x:v>3.0</x:v>
      </x:c>
      <x:c r="F10" s="15"/>
      <x:c r="G10" s="16"/>
      <x:c r="H10" s="17" t="s">
        <x:v>16</x:v>
      </x:c>
      <x:c r="I10" s="14">
        <x:f t="shared" si="1"/>
        <x:v>2</x:v>
      </x:c>
      <x:c r="J10" s="18" t="s">
        <x:v>32</x:v>
      </x:c>
      <x:c r="K10" s="38" t="str">
        <x:v>Aceitação pendente</x:v>
      </x:c>
    </x:row>
    <x:row r="11" ht="21" customHeight="1">
      <x:c r="A11" s="10"/>
      <x:c r="B11" s="11" t="s">
        <x:v>33</x:v>
      </x:c>
      <x:c r="C11" s="8"/>
      <x:c r="D11" s="8"/>
      <x:c r="E11" s="8"/>
      <x:c r="F11" s="8"/>
      <x:c r="G11" s="8"/>
      <x:c r="H11" s="8"/>
      <x:c r="I11" s="8"/>
      <x:c r="J11" s="9"/>
      <x:c r="K11" s="38"/>
    </x:row>
    <x:row r="12" ht="33.75" customHeight="1">
      <x:c r="A12" s="12" t="s">
        <x:v>34</x:v>
      </x:c>
      <x:c r="B12" s="13" t="s">
        <x:v>35</x:v>
      </x:c>
      <x:c r="C12" s="19">
        <x:v>1.0</x:v>
      </x:c>
      <x:c r="D12" s="19">
        <x:v>2.0</x:v>
      </x:c>
      <x:c r="E12" s="19">
        <x:v>4.0</x:v>
      </x:c>
      <x:c r="F12" s="15"/>
      <x:c r="G12" s="16"/>
      <x:c r="H12" s="20" t="s">
        <x:v>16</x:v>
      </x:c>
      <x:c r="I12" s="14" t="n">
        <x:f t="shared" ref="I12:I17" si="2">(C12+4*D12+E12)/6</x:f>
        <x:v>2.1666666666666665</x:v>
      </x:c>
      <x:c r="J12" s="18" t="s">
        <x:v>36</x:v>
      </x:c>
      <x:c r="K12" s="38"/>
    </x:row>
    <x:row r="13" ht="33.75" customHeight="1">
      <x:c r="A13" s="12" t="s">
        <x:v>37</x:v>
      </x:c>
      <x:c r="B13" s="13" t="s">
        <x:v>38</x:v>
      </x:c>
      <x:c r="C13" s="14">
        <x:v>2.0</x:v>
      </x:c>
      <x:c r="D13" s="14">
        <x:v>4.0</x:v>
      </x:c>
      <x:c r="E13" s="14">
        <x:v>6.0</x:v>
      </x:c>
      <x:c r="F13" s="21" t="s">
        <x:v>16</x:v>
      </x:c>
      <x:c r="G13" s="16"/>
      <x:c r="H13" s="17"/>
      <x:c r="I13" s="14">
        <x:f t="shared" si="2"/>
        <x:v>4</x:v>
      </x:c>
      <x:c r="J13" s="18" t="s">
        <x:v>39</x:v>
      </x:c>
      <x:c r="K13" s="38"/>
    </x:row>
    <x:row r="14" ht="33.75" customHeight="1">
      <x:c r="A14" s="12" t="s">
        <x:v>40</x:v>
      </x:c>
      <x:c r="B14" s="13" t="s">
        <x:v>41</x:v>
      </x:c>
      <x:c r="C14" s="19">
        <x:v>1.0</x:v>
      </x:c>
      <x:c r="D14" s="19">
        <x:v>2.0</x:v>
      </x:c>
      <x:c r="E14" s="19">
        <x:v>4.0</x:v>
      </x:c>
      <x:c r="F14" s="15"/>
      <x:c r="G14" s="16" t="s">
        <x:v>16</x:v>
      </x:c>
      <x:c r="H14" s="17"/>
      <x:c r="I14" s="14">
        <x:f t="shared" si="2"/>
        <x:v>2.166666667</x:v>
      </x:c>
      <x:c r="J14" s="18" t="s">
        <x:v>42</x:v>
      </x:c>
      <x:c r="K14" s="38"/>
    </x:row>
    <x:row r="15" ht="33.75" customHeight="1">
      <x:c r="A15" s="12" t="s">
        <x:v>43</x:v>
      </x:c>
      <x:c r="B15" s="22" t="s">
        <x:v>44</x:v>
      </x:c>
      <x:c r="C15" s="19">
        <x:v>2.0</x:v>
      </x:c>
      <x:c r="D15" s="19">
        <x:v>3.5</x:v>
      </x:c>
      <x:c r="E15" s="19">
        <x:v>5.0</x:v>
      </x:c>
      <x:c r="F15" s="15"/>
      <x:c r="G15" s="16" t="s">
        <x:v>16</x:v>
      </x:c>
      <x:c r="H15" s="17"/>
      <x:c r="I15" s="14">
        <x:f t="shared" si="2"/>
        <x:v>3.5</x:v>
      </x:c>
      <x:c r="J15" s="18" t="s">
        <x:v>45</x:v>
      </x:c>
      <x:c r="K15" s="38"/>
    </x:row>
    <x:row r="16" ht="33.75" customHeight="1">
      <x:c r="A16" s="12" t="s">
        <x:v>46</x:v>
      </x:c>
      <x:c r="B16" s="13" t="s">
        <x:v>47</x:v>
      </x:c>
      <x:c r="C16" s="19">
        <x:v>1.0</x:v>
      </x:c>
      <x:c r="D16" s="14">
        <x:v>3.0</x:v>
      </x:c>
      <x:c r="E16" s="14">
        <x:v>4.0</x:v>
      </x:c>
      <x:c r="F16" s="15"/>
      <x:c r="G16" s="16"/>
      <x:c r="H16" s="17" t="s">
        <x:v>16</x:v>
      </x:c>
      <x:c r="I16" s="14">
        <x:f t="shared" si="2"/>
        <x:v>2.833333333</x:v>
      </x:c>
      <x:c r="J16" s="18" t="s">
        <x:v>48</x:v>
      </x:c>
      <x:c r="K16" s="38"/>
    </x:row>
    <x:row r="17" ht="33.75" customHeight="1">
      <x:c r="A17" s="12" t="s">
        <x:v>49</x:v>
      </x:c>
      <x:c r="B17" s="13" t="s">
        <x:v>50</x:v>
      </x:c>
      <x:c r="C17" s="14">
        <x:v>2.0</x:v>
      </x:c>
      <x:c r="D17" s="14">
        <x:v>4.0</x:v>
      </x:c>
      <x:c r="E17" s="14">
        <x:v>6.0</x:v>
      </x:c>
      <x:c r="F17" s="15"/>
      <x:c r="G17" s="16" t="s">
        <x:v>16</x:v>
      </x:c>
      <x:c r="H17" s="17"/>
      <x:c r="I17" s="14">
        <x:f t="shared" si="2"/>
        <x:v>4</x:v>
      </x:c>
      <x:c r="J17" s="18" t="s">
        <x:v>51</x:v>
      </x:c>
      <x:c r="K17" s="38"/>
    </x:row>
    <x:row r="18" ht="21" customHeight="1">
      <x:c r="A18" s="10"/>
      <x:c r="B18" s="11" t="s">
        <x:v>52</x:v>
      </x:c>
      <x:c r="C18" s="8"/>
      <x:c r="D18" s="8"/>
      <x:c r="E18" s="8"/>
      <x:c r="F18" s="8"/>
      <x:c r="G18" s="8"/>
      <x:c r="H18" s="8"/>
      <x:c r="I18" s="8"/>
      <x:c r="J18" s="9"/>
      <x:c r="K18" s="38"/>
    </x:row>
    <x:row r="19" ht="33.75" customHeight="1">
      <x:c r="A19" s="12" t="s">
        <x:v>53</x:v>
      </x:c>
      <x:c r="B19" s="13" t="s">
        <x:v>54</x:v>
      </x:c>
      <x:c r="C19" s="19">
        <x:v>1.0</x:v>
      </x:c>
      <x:c r="D19" s="19">
        <x:v>3.0</x:v>
      </x:c>
      <x:c r="E19" s="19">
        <x:v>5.0</x:v>
      </x:c>
      <x:c r="F19" s="15"/>
      <x:c r="G19" s="16" t="s">
        <x:v>16</x:v>
      </x:c>
      <x:c r="H19" s="17"/>
      <x:c r="I19" s="14" t="n">
        <x:f t="shared" ref="I19:I25" si="3">(C19+4*D19+E19)/6</x:f>
        <x:v>3</x:v>
      </x:c>
      <x:c r="J19" s="18" t="s">
        <x:v>55</x:v>
      </x:c>
      <x:c r="K19" s="38"/>
    </x:row>
    <x:row r="20" ht="33.75" customHeight="1">
      <x:c r="A20" s="12" t="s">
        <x:v>56</x:v>
      </x:c>
      <x:c r="B20" s="13" t="s">
        <x:v>57</x:v>
      </x:c>
      <x:c r="C20" s="19">
        <x:v>1.0</x:v>
      </x:c>
      <x:c r="D20" s="19">
        <x:v>3.0</x:v>
      </x:c>
      <x:c r="E20" s="19">
        <x:v>5.0</x:v>
      </x:c>
      <x:c r="F20" s="15"/>
      <x:c r="G20" s="16" t="s">
        <x:v>16</x:v>
      </x:c>
      <x:c r="H20" s="17"/>
      <x:c r="I20" s="14">
        <x:f t="shared" si="3"/>
        <x:v>3</x:v>
      </x:c>
      <x:c r="J20" s="18" t="s">
        <x:v>58</x:v>
      </x:c>
      <x:c r="K20" s="38"/>
    </x:row>
    <x:row r="21" ht="33.75" customHeight="1">
      <x:c r="A21" s="12" t="s">
        <x:v>59</x:v>
      </x:c>
      <x:c r="B21" s="13" t="s">
        <x:v>60</x:v>
      </x:c>
      <x:c r="C21" s="19">
        <x:v>1.0</x:v>
      </x:c>
      <x:c r="D21" s="19">
        <x:v>3.0</x:v>
      </x:c>
      <x:c r="E21" s="19">
        <x:v>5.0</x:v>
      </x:c>
      <x:c r="F21" s="15"/>
      <x:c r="G21" s="16" t="s">
        <x:v>16</x:v>
      </x:c>
      <x:c r="H21" s="17"/>
      <x:c r="I21" s="14">
        <x:f t="shared" si="3"/>
        <x:v>3</x:v>
      </x:c>
      <x:c r="J21" s="23" t="s">
        <x:v>61</x:v>
      </x:c>
      <x:c r="K21" s="38"/>
    </x:row>
    <x:row r="22" ht="33.75" customHeight="1">
      <x:c r="A22" s="12" t="s">
        <x:v>62</x:v>
      </x:c>
      <x:c r="B22" s="13" t="s">
        <x:v>63</x:v>
      </x:c>
      <x:c r="C22" s="14">
        <x:v>2.0</x:v>
      </x:c>
      <x:c r="D22" s="14">
        <x:v>3.0</x:v>
      </x:c>
      <x:c r="E22" s="14">
        <x:v>4.0</x:v>
      </x:c>
      <x:c r="F22" s="15"/>
      <x:c r="G22" s="16"/>
      <x:c r="H22" s="17" t="s">
        <x:v>16</x:v>
      </x:c>
      <x:c r="I22" s="14">
        <x:f t="shared" si="3"/>
        <x:v>3</x:v>
      </x:c>
      <x:c r="J22" s="18" t="s">
        <x:v>64</x:v>
      </x:c>
      <x:c r="K22" s="38"/>
    </x:row>
    <x:row r="23" ht="33.75" customHeight="1">
      <x:c r="A23" s="12" t="s">
        <x:v>65</x:v>
      </x:c>
      <x:c r="B23" s="13" t="s">
        <x:v>66</x:v>
      </x:c>
      <x:c r="C23" s="14">
        <x:v>1.5</x:v>
      </x:c>
      <x:c r="D23" s="14">
        <x:v>3.0</x:v>
      </x:c>
      <x:c r="E23" s="14">
        <x:v>4.5</x:v>
      </x:c>
      <x:c r="F23" s="15"/>
      <x:c r="G23" s="16" t="s">
        <x:v>16</x:v>
      </x:c>
      <x:c r="H23" s="17"/>
      <x:c r="I23" s="14">
        <x:f t="shared" si="3"/>
        <x:v>3</x:v>
      </x:c>
      <x:c r="J23" s="18" t="s">
        <x:v>67</x:v>
      </x:c>
      <x:c r="K23" s="38"/>
    </x:row>
    <x:row r="24" ht="33.75" customHeight="1">
      <x:c r="A24" s="12" t="s">
        <x:v>68</x:v>
      </x:c>
      <x:c r="B24" s="13" t="s">
        <x:v>69</x:v>
      </x:c>
      <x:c r="C24" s="14">
        <x:v>2.0</x:v>
      </x:c>
      <x:c r="D24" s="14">
        <x:v>4.0</x:v>
      </x:c>
      <x:c r="E24" s="14">
        <x:v>6.0</x:v>
      </x:c>
      <x:c r="F24" s="15"/>
      <x:c r="G24" s="16" t="s">
        <x:v>16</x:v>
      </x:c>
      <x:c r="H24" s="17"/>
      <x:c r="I24" s="14">
        <x:f t="shared" si="3"/>
        <x:v>4</x:v>
      </x:c>
      <x:c r="J24" s="18" t="s">
        <x:v>70</x:v>
      </x:c>
      <x:c r="K24" s="38"/>
    </x:row>
    <x:row r="25" ht="33.75" customHeight="1">
      <x:c r="A25" s="12" t="s">
        <x:v>71</x:v>
      </x:c>
      <x:c r="B25" s="13" t="s">
        <x:v>72</x:v>
      </x:c>
      <x:c r="C25" s="14">
        <x:v>2.0</x:v>
      </x:c>
      <x:c r="D25" s="14">
        <x:v>3.0</x:v>
      </x:c>
      <x:c r="E25" s="14">
        <x:v>4.0</x:v>
      </x:c>
      <x:c r="F25" s="15"/>
      <x:c r="G25" s="16"/>
      <x:c r="H25" s="17" t="s">
        <x:v>16</x:v>
      </x:c>
      <x:c r="I25" s="14">
        <x:f t="shared" si="3"/>
        <x:v>3</x:v>
      </x:c>
      <x:c r="J25" s="18" t="s">
        <x:v>73</x:v>
      </x:c>
      <x:c r="K25" s="38"/>
    </x:row>
    <x:row r="26" ht="21" customHeight="1">
      <x:c r="A26" s="10"/>
      <x:c r="B26" s="11" t="s">
        <x:v>74</x:v>
      </x:c>
      <x:c r="C26" s="8"/>
      <x:c r="D26" s="8"/>
      <x:c r="E26" s="8"/>
      <x:c r="F26" s="8"/>
      <x:c r="G26" s="8"/>
      <x:c r="H26" s="8"/>
      <x:c r="I26" s="8"/>
      <x:c r="J26" s="9"/>
      <x:c r="K26" s="38"/>
    </x:row>
    <x:row r="27" ht="33.75" customHeight="1">
      <x:c r="A27" s="12" t="s">
        <x:v>75</x:v>
      </x:c>
      <x:c r="B27" s="13" t="s">
        <x:v>76</x:v>
      </x:c>
      <x:c r="C27" s="14">
        <x:v>2.0</x:v>
      </x:c>
      <x:c r="D27" s="14">
        <x:v>3.0</x:v>
      </x:c>
      <x:c r="E27" s="14">
        <x:v>4.0</x:v>
      </x:c>
      <x:c r="F27" s="15"/>
      <x:c r="G27" s="16"/>
      <x:c r="H27" s="17" t="s">
        <x:v>16</x:v>
      </x:c>
      <x:c r="I27" s="14" t="n">
        <x:f t="shared" ref="I27:I35" si="4">(C27+4*D27+E27)/6</x:f>
        <x:v>3</x:v>
      </x:c>
      <x:c r="J27" s="18" t="s">
        <x:v>77</x:v>
      </x:c>
      <x:c r="K27" s="38"/>
    </x:row>
    <x:row r="28" ht="33.75" customHeight="1">
      <x:c r="A28" s="12" t="s">
        <x:v>78</x:v>
      </x:c>
      <x:c r="B28" s="13" t="s">
        <x:v>79</x:v>
      </x:c>
      <x:c r="C28" s="14">
        <x:v>2.0</x:v>
      </x:c>
      <x:c r="D28" s="14">
        <x:v>4.0</x:v>
      </x:c>
      <x:c r="E28" s="14">
        <x:v>6.0</x:v>
      </x:c>
      <x:c r="F28" s="15"/>
      <x:c r="G28" s="16" t="s">
        <x:v>16</x:v>
      </x:c>
      <x:c r="H28" s="17"/>
      <x:c r="I28" s="14">
        <x:f t="shared" si="4"/>
        <x:v>4</x:v>
      </x:c>
      <x:c r="J28" s="18" t="s">
        <x:v>80</x:v>
      </x:c>
      <x:c r="K28" s="38" t="str">
        <x:v>Implementado</x:v>
      </x:c>
    </x:row>
    <x:row r="29" ht="33.75" customHeight="1">
      <x:c r="A29" s="12" t="s">
        <x:v>81</x:v>
      </x:c>
      <x:c r="B29" s="13" t="s">
        <x:v>82</x:v>
      </x:c>
      <x:c r="C29" s="14">
        <x:v>3.5</x:v>
      </x:c>
      <x:c r="D29" s="19">
        <x:v>6.0</x:v>
      </x:c>
      <x:c r="E29" s="19">
        <x:v>8.0</x:v>
      </x:c>
      <x:c r="F29" s="15" t="s">
        <x:v>16</x:v>
      </x:c>
      <x:c r="G29" s="16"/>
      <x:c r="H29" s="17"/>
      <x:c r="I29" s="14">
        <x:f t="shared" si="4"/>
        <x:v>5.916666667</x:v>
      </x:c>
      <x:c r="J29" s="18" t="s">
        <x:v>83</x:v>
      </x:c>
      <x:c r="K29" s="38" t="str">
        <x:v>Implementado</x:v>
      </x:c>
    </x:row>
    <x:row r="30" ht="33.75" customHeight="1">
      <x:c r="A30" s="12" t="s">
        <x:v>84</x:v>
      </x:c>
      <x:c r="B30" s="13" t="s">
        <x:v>85</x:v>
      </x:c>
      <x:c r="C30" s="14">
        <x:v>2.0</x:v>
      </x:c>
      <x:c r="D30" s="14">
        <x:v>4.0</x:v>
      </x:c>
      <x:c r="E30" s="14">
        <x:v>6.0</x:v>
      </x:c>
      <x:c r="F30" s="15"/>
      <x:c r="G30" s="16" t="s">
        <x:v>16</x:v>
      </x:c>
      <x:c r="H30" s="17"/>
      <x:c r="I30" s="14">
        <x:f t="shared" si="4"/>
        <x:v>4</x:v>
      </x:c>
      <x:c r="J30" s="18" t="s">
        <x:v>86</x:v>
      </x:c>
      <x:c r="K30" s="38" t="str">
        <x:v>Implementado</x:v>
      </x:c>
    </x:row>
    <x:row r="31" ht="33.75" customHeight="1">
      <x:c r="A31" s="12" t="s">
        <x:v>87</x:v>
      </x:c>
      <x:c r="B31" s="13" t="s">
        <x:v>88</x:v>
      </x:c>
      <x:c r="C31" s="14">
        <x:v>3.0</x:v>
      </x:c>
      <x:c r="D31" s="14">
        <x:v>6.0</x:v>
      </x:c>
      <x:c r="E31" s="19">
        <x:v>8.0</x:v>
      </x:c>
      <x:c r="F31" s="15" t="s">
        <x:v>16</x:v>
      </x:c>
      <x:c r="G31" s="16"/>
      <x:c r="H31" s="17"/>
      <x:c r="I31" s="14">
        <x:f t="shared" si="4"/>
        <x:v>5.833333333</x:v>
      </x:c>
      <x:c r="J31" s="18" t="s">
        <x:v>89</x:v>
      </x:c>
      <x:c r="K31" s="38" t="str">
        <x:v>Implementado</x:v>
      </x:c>
    </x:row>
    <x:row r="32" ht="33.75" customHeight="1">
      <x:c r="A32" s="12" t="s">
        <x:v>90</x:v>
      </x:c>
      <x:c r="B32" s="13" t="s">
        <x:v>91</x:v>
      </x:c>
      <x:c r="C32" s="14">
        <x:v>2.0</x:v>
      </x:c>
      <x:c r="D32" s="14">
        <x:v>4.0</x:v>
      </x:c>
      <x:c r="E32" s="14">
        <x:v>6.0</x:v>
      </x:c>
      <x:c r="F32" s="15"/>
      <x:c r="G32" s="16" t="s">
        <x:v>16</x:v>
      </x:c>
      <x:c r="H32" s="17"/>
      <x:c r="I32" s="14">
        <x:f t="shared" si="4"/>
        <x:v>4</x:v>
      </x:c>
      <x:c r="J32" s="18" t="s">
        <x:v>92</x:v>
      </x:c>
      <x:c r="K32" s="38" t="str">
        <x:v>Implementado</x:v>
      </x:c>
    </x:row>
    <x:row r="33" ht="33.75" customHeight="1">
      <x:c r="A33" s="12" t="s">
        <x:v>93</x:v>
      </x:c>
      <x:c r="B33" s="13" t="s">
        <x:v>94</x:v>
      </x:c>
      <x:c r="C33" s="14">
        <x:v>2.0</x:v>
      </x:c>
      <x:c r="D33" s="14">
        <x:v>4.0</x:v>
      </x:c>
      <x:c r="E33" s="14">
        <x:v>6.0</x:v>
      </x:c>
      <x:c r="F33" s="15"/>
      <x:c r="G33" s="16" t="s">
        <x:v>16</x:v>
      </x:c>
      <x:c r="H33" s="17"/>
      <x:c r="I33" s="14">
        <x:f t="shared" si="4"/>
        <x:v>4</x:v>
      </x:c>
      <x:c r="J33" s="18" t="s">
        <x:v>95</x:v>
      </x:c>
      <x:c r="K33" s="38" t="str">
        <x:v>Implementado</x:v>
      </x:c>
    </x:row>
    <x:row r="34" ht="33.75" customHeight="1">
      <x:c r="A34" s="12" t="s">
        <x:v>96</x:v>
      </x:c>
      <x:c r="B34" s="13" t="s">
        <x:v>97</x:v>
      </x:c>
      <x:c r="C34" s="14">
        <x:v>2.0</x:v>
      </x:c>
      <x:c r="D34" s="14">
        <x:v>3.0</x:v>
      </x:c>
      <x:c r="E34" s="14">
        <x:v>4.0</x:v>
      </x:c>
      <x:c r="F34" s="15"/>
      <x:c r="G34" s="16"/>
      <x:c r="H34" s="17" t="s">
        <x:v>16</x:v>
      </x:c>
      <x:c r="I34" s="14">
        <x:f t="shared" si="4"/>
        <x:v>3</x:v>
      </x:c>
      <x:c r="J34" s="18" t="str">
        <x:v>Administrador avança APROVADA para EM_TRANSPORTE e confirma ENTREGUE conforme RF0039/RF0040.</x:v>
      </x:c>
      <x:c r="K34" s="38" t="str">
        <x:v>Implementado</x:v>
      </x:c>
    </x:row>
    <x:row r="35" ht="33.75" customHeight="1">
      <x:c r="A35" s="12" t="s">
        <x:v>98</x:v>
      </x:c>
      <x:c r="B35" s="13" t="s">
        <x:v>99</x:v>
      </x:c>
      <x:c r="C35" s="19">
        <x:v>3.0</x:v>
      </x:c>
      <x:c r="D35" s="19">
        <x:v>4.0</x:v>
      </x:c>
      <x:c r="E35" s="19">
        <x:v>6.5</x:v>
      </x:c>
      <x:c r="F35" s="15"/>
      <x:c r="G35" s="16" t="s">
        <x:v>16</x:v>
      </x:c>
      <x:c r="H35" s="17"/>
      <x:c r="I35" s="14">
        <x:f t="shared" si="4"/>
        <x:v>4.25</x:v>
      </x:c>
      <x:c r="J35" s="18" t="s">
        <x:v>100</x:v>
      </x:c>
      <x:c r="K35" s="38" t="str">
        <x:v>Implementado</x:v>
      </x:c>
    </x:row>
    <x:row r="36" ht="21" customHeight="1">
      <x:c r="A36" s="10"/>
      <x:c r="B36" s="11" t="str">
        <x:v>Backend de estoque e trocas do UC05</x:v>
      </x:c>
      <x:c r="C36" s="8"/>
      <x:c r="D36" s="8"/>
      <x:c r="E36" s="8"/>
      <x:c r="F36" s="8"/>
      <x:c r="G36" s="8"/>
      <x:c r="H36" s="8"/>
      <x:c r="I36" s="8"/>
      <x:c r="J36" s="9"/>
      <x:c r="K36" s="38"/>
    </x:row>
    <x:row r="37" ht="33.75" customHeight="1">
      <x:c r="A37" s="12" t="s">
        <x:v>101</x:v>
      </x:c>
      <x:c r="B37" s="13" t="s">
        <x:v>102</x:v>
      </x:c>
      <x:c r="C37" s="14">
        <x:v>2.0</x:v>
      </x:c>
      <x:c r="D37" s="14">
        <x:v>4.0</x:v>
      </x:c>
      <x:c r="E37" s="14">
        <x:v>6.0</x:v>
      </x:c>
      <x:c r="F37" s="15"/>
      <x:c r="G37" s="16" t="s">
        <x:v>16</x:v>
      </x:c>
      <x:c r="H37" s="17"/>
      <x:c r="I37" s="14" t="n">
        <x:f t="shared" ref="I37:I43" si="5">(C37+4*D37+E37)/6</x:f>
        <x:v>4</x:v>
      </x:c>
      <x:c r="J37" s="18" t="s">
        <x:v>103</x:v>
      </x:c>
      <x:c r="K37" s="38" t="str">
        <x:v>Fora do incremento</x:v>
      </x:c>
    </x:row>
    <x:row r="38" ht="33.75" customHeight="1">
      <x:c r="A38" s="12" t="s">
        <x:v>104</x:v>
      </x:c>
      <x:c r="B38" s="13" t="s">
        <x:v>105</x:v>
      </x:c>
      <x:c r="C38" s="14">
        <x:v>2.0</x:v>
      </x:c>
      <x:c r="D38" s="14">
        <x:v>3.0</x:v>
      </x:c>
      <x:c r="E38" s="14">
        <x:v>4.0</x:v>
      </x:c>
      <x:c r="F38" s="15"/>
      <x:c r="G38" s="16"/>
      <x:c r="H38" s="17" t="s">
        <x:v>16</x:v>
      </x:c>
      <x:c r="I38" s="14">
        <x:f t="shared" si="5"/>
        <x:v>3</x:v>
      </x:c>
      <x:c r="J38" s="18" t="s">
        <x:v>106</x:v>
      </x:c>
      <x:c r="K38" s="38" t="str">
        <x:v>Fora do incremento</x:v>
      </x:c>
    </x:row>
    <x:row r="39" ht="33.75" customHeight="1">
      <x:c r="A39" s="12" t="s">
        <x:v>107</x:v>
      </x:c>
      <x:c r="B39" s="13" t="s">
        <x:v>108</x:v>
      </x:c>
      <x:c r="C39" s="19">
        <x:v>2.0</x:v>
      </x:c>
      <x:c r="D39" s="19">
        <x:v>4.5</x:v>
      </x:c>
      <x:c r="E39" s="19">
        <x:v>8.0</x:v>
      </x:c>
      <x:c r="F39" s="15" t="s">
        <x:v>16</x:v>
      </x:c>
      <x:c r="G39" s="16"/>
      <x:c r="H39" s="17"/>
      <x:c r="I39" s="14">
        <x:f t="shared" si="5"/>
        <x:v>4.666666667</x:v>
      </x:c>
      <x:c r="J39" s="18" t="s">
        <x:v>109</x:v>
      </x:c>
      <x:c r="K39" s="38" t="str">
        <x:v>Implementado</x:v>
      </x:c>
    </x:row>
    <x:row r="40" ht="33.75" customHeight="1">
      <x:c r="A40" s="12" t="s">
        <x:v>110</x:v>
      </x:c>
      <x:c r="B40" s="13" t="s">
        <x:v>111</x:v>
      </x:c>
      <x:c r="C40" s="14">
        <x:v>1.5</x:v>
      </x:c>
      <x:c r="D40" s="14">
        <x:v>3.0</x:v>
      </x:c>
      <x:c r="E40" s="14">
        <x:v>4.5</x:v>
      </x:c>
      <x:c r="F40" s="15"/>
      <x:c r="G40" s="16" t="s">
        <x:v>16</x:v>
      </x:c>
      <x:c r="H40" s="17"/>
      <x:c r="I40" s="14">
        <x:f t="shared" si="5"/>
        <x:v>3</x:v>
      </x:c>
      <x:c r="J40" s="18" t="s">
        <x:v>112</x:v>
      </x:c>
      <x:c r="K40" s="38" t="str">
        <x:v>Implementado</x:v>
      </x:c>
    </x:row>
    <x:row r="41" ht="33.75" customHeight="1">
      <x:c r="A41" s="12" t="s">
        <x:v>113</x:v>
      </x:c>
      <x:c r="B41" s="13" t="s">
        <x:v>114</x:v>
      </x:c>
      <x:c r="C41" s="19">
        <x:v>2.0</x:v>
      </x:c>
      <x:c r="D41" s="19">
        <x:v>4.5</x:v>
      </x:c>
      <x:c r="E41" s="19">
        <x:v>8.0</x:v>
      </x:c>
      <x:c r="F41" s="15" t="s">
        <x:v>16</x:v>
      </x:c>
      <x:c r="G41" s="16"/>
      <x:c r="H41" s="17"/>
      <x:c r="I41" s="14">
        <x:f t="shared" si="5"/>
        <x:v>4.666666667</x:v>
      </x:c>
      <x:c r="J41" s="18" t="str">
        <x:v>Excluído do incremento UC05. Devolução e reembolso em sete dias não pertencem ao DRS de vendas deste ciclo. Estimativa histórica preservada.</x:v>
      </x:c>
      <x:c r="K41" s="38" t="str">
        <x:v>Fora do incremento</x:v>
      </x:c>
    </x:row>
    <x:row r="42" ht="33.75" customHeight="1">
      <x:c r="A42" s="12" t="s">
        <x:v>115</x:v>
      </x:c>
      <x:c r="B42" s="13" t="s">
        <x:v>116</x:v>
      </x:c>
      <x:c r="C42" s="14">
        <x:v>1.5</x:v>
      </x:c>
      <x:c r="D42" s="14">
        <x:v>3.0</x:v>
      </x:c>
      <x:c r="E42" s="14">
        <x:v>4.5</x:v>
      </x:c>
      <x:c r="F42" s="15"/>
      <x:c r="G42" s="16" t="s">
        <x:v>16</x:v>
      </x:c>
      <x:c r="H42" s="17"/>
      <x:c r="I42" s="14">
        <x:f t="shared" si="5"/>
        <x:v>3</x:v>
      </x:c>
      <x:c r="J42" s="18" t="str">
        <x:v>Receber troca autorizada; decisão explícita de reentrada; gerar cupom único e concluir TROCADO na mesma transação.</x:v>
      </x:c>
      <x:c r="K42" s="38" t="str">
        <x:v>Implementado</x:v>
      </x:c>
    </x:row>
    <x:row r="43" ht="33.75" customHeight="1">
      <x:c r="A43" s="12" t="s">
        <x:v>117</x:v>
      </x:c>
      <x:c r="B43" s="13" t="s">
        <x:v>118</x:v>
      </x:c>
      <x:c r="C43" s="14">
        <x:v>2.0</x:v>
      </x:c>
      <x:c r="D43" s="14">
        <x:v>3.0</x:v>
      </x:c>
      <x:c r="E43" s="14">
        <x:v>4.0</x:v>
      </x:c>
      <x:c r="F43" s="15"/>
      <x:c r="G43" s="16"/>
      <x:c r="H43" s="17" t="s">
        <x:v>16</x:v>
      </x:c>
      <x:c r="I43" s="14">
        <x:f t="shared" si="5"/>
        <x:v>3</x:v>
      </x:c>
      <x:c r="J43" s="18" t="str">
        <x:v>Verificar baixa, liberação, reentrada e crédito de troca. Entrada geral, devolução e reembolso estão fora deste incremento.</x:v>
      </x:c>
      <x:c r="K43" s="38" t="str">
        <x:v>Implementado</x:v>
      </x:c>
    </x:row>
    <x:row r="44" ht="21" customHeight="1">
      <x:c r="A44" s="10"/>
      <x:c r="B44" s="11" t="s">
        <x:v>119</x:v>
      </x:c>
      <x:c r="C44" s="8"/>
      <x:c r="D44" s="8"/>
      <x:c r="E44" s="8"/>
      <x:c r="F44" s="8"/>
      <x:c r="G44" s="8"/>
      <x:c r="H44" s="8"/>
      <x:c r="I44" s="8"/>
      <x:c r="J44" s="9"/>
      <x:c r="K44" s="38"/>
    </x:row>
    <x:row r="45" ht="33.75" customHeight="1">
      <x:c r="A45" s="12" t="s">
        <x:v>120</x:v>
      </x:c>
      <x:c r="B45" s="13" t="s">
        <x:v>121</x:v>
      </x:c>
      <x:c r="C45" s="19">
        <x:v>1.0</x:v>
      </x:c>
      <x:c r="D45" s="19">
        <x:v>3.0</x:v>
      </x:c>
      <x:c r="E45" s="14">
        <x:v>6.0</x:v>
      </x:c>
      <x:c r="F45" s="15"/>
      <x:c r="G45" s="16" t="s">
        <x:v>16</x:v>
      </x:c>
      <x:c r="H45" s="17"/>
      <x:c r="I45" s="14" t="n">
        <x:f t="shared" ref="I45:I52" si="6">(C45+4*D45+E45)/6</x:f>
        <x:v>3.1666666666666665</x:v>
      </x:c>
      <x:c r="J45" s="18" t="s">
        <x:v>122</x:v>
      </x:c>
      <x:c r="K45" s="38"/>
    </x:row>
    <x:row r="46" ht="33.75" customHeight="1">
      <x:c r="A46" s="12" t="s">
        <x:v>123</x:v>
      </x:c>
      <x:c r="B46" s="13" t="s">
        <x:v>124</x:v>
      </x:c>
      <x:c r="C46" s="19">
        <x:v>1.0</x:v>
      </x:c>
      <x:c r="D46" s="19">
        <x:v>3.0</x:v>
      </x:c>
      <x:c r="E46" s="14">
        <x:v>6.0</x:v>
      </x:c>
      <x:c r="F46" s="15"/>
      <x:c r="G46" s="16" t="s">
        <x:v>16</x:v>
      </x:c>
      <x:c r="H46" s="17"/>
      <x:c r="I46" s="14">
        <x:f t="shared" si="6"/>
        <x:v>3.166666667</x:v>
      </x:c>
      <x:c r="J46" s="18" t="s">
        <x:v>125</x:v>
      </x:c>
      <x:c r="K46" s="38"/>
    </x:row>
    <x:row r="47" ht="33.75" customHeight="1">
      <x:c r="A47" s="12" t="s">
        <x:v>126</x:v>
      </x:c>
      <x:c r="B47" s="13" t="s">
        <x:v>127</x:v>
      </x:c>
      <x:c r="C47" s="14">
        <x:v>1.0</x:v>
      </x:c>
      <x:c r="D47" s="14">
        <x:v>2.0</x:v>
      </x:c>
      <x:c r="E47" s="14">
        <x:v>3.0</x:v>
      </x:c>
      <x:c r="F47" s="15"/>
      <x:c r="G47" s="16"/>
      <x:c r="H47" s="17" t="s">
        <x:v>16</x:v>
      </x:c>
      <x:c r="I47" s="14">
        <x:f t="shared" si="6"/>
        <x:v>2</x:v>
      </x:c>
      <x:c r="J47" s="18" t="s">
        <x:v>128</x:v>
      </x:c>
      <x:c r="K47" s="38"/>
    </x:row>
    <x:row r="48" ht="33.75" customHeight="1">
      <x:c r="A48" s="12" t="s">
        <x:v>129</x:v>
      </x:c>
      <x:c r="B48" s="13" t="s">
        <x:v>130</x:v>
      </x:c>
      <x:c r="C48" s="14">
        <x:v>2.0</x:v>
      </x:c>
      <x:c r="D48" s="14">
        <x:v>4.0</x:v>
      </x:c>
      <x:c r="E48" s="14">
        <x:v>6.0</x:v>
      </x:c>
      <x:c r="F48" s="15"/>
      <x:c r="G48" s="16" t="s">
        <x:v>16</x:v>
      </x:c>
      <x:c r="H48" s="17"/>
      <x:c r="I48" s="14">
        <x:f t="shared" si="6"/>
        <x:v>4</x:v>
      </x:c>
      <x:c r="J48" s="18" t="s">
        <x:v>131</x:v>
      </x:c>
      <x:c r="K48" s="38"/>
    </x:row>
    <x:row r="49" ht="33.75" customHeight="1">
      <x:c r="A49" s="12" t="s">
        <x:v>132</x:v>
      </x:c>
      <x:c r="B49" s="13" t="s">
        <x:v>133</x:v>
      </x:c>
      <x:c r="C49" s="14">
        <x:v>2.0</x:v>
      </x:c>
      <x:c r="D49" s="14">
        <x:v>4.0</x:v>
      </x:c>
      <x:c r="E49" s="14">
        <x:v>6.0</x:v>
      </x:c>
      <x:c r="F49" s="15"/>
      <x:c r="G49" s="16" t="s">
        <x:v>16</x:v>
      </x:c>
      <x:c r="H49" s="17"/>
      <x:c r="I49" s="14">
        <x:f t="shared" si="6"/>
        <x:v>4</x:v>
      </x:c>
      <x:c r="J49" s="18" t="s">
        <x:v>134</x:v>
      </x:c>
      <x:c r="K49" s="38"/>
    </x:row>
    <x:row r="50" ht="33.75" customHeight="1">
      <x:c r="A50" s="12" t="s">
        <x:v>135</x:v>
      </x:c>
      <x:c r="B50" s="13" t="s">
        <x:v>136</x:v>
      </x:c>
      <x:c r="C50" s="14">
        <x:v>2.5</x:v>
      </x:c>
      <x:c r="D50" s="14">
        <x:v>5.0</x:v>
      </x:c>
      <x:c r="E50" s="19">
        <x:v>8.0</x:v>
      </x:c>
      <x:c r="F50" s="15" t="s">
        <x:v>16</x:v>
      </x:c>
      <x:c r="G50" s="16"/>
      <x:c r="H50" s="17"/>
      <x:c r="I50" s="14">
        <x:f t="shared" si="6"/>
        <x:v>5.083333333</x:v>
      </x:c>
      <x:c r="J50" s="18" t="s">
        <x:v>137</x:v>
      </x:c>
      <x:c r="K50" s="38"/>
    </x:row>
    <x:row r="51" ht="33.75" customHeight="1">
      <x:c r="A51" s="12" t="s">
        <x:v>138</x:v>
      </x:c>
      <x:c r="B51" s="13" t="s">
        <x:v>139</x:v>
      </x:c>
      <x:c r="C51" s="14">
        <x:v>1.0</x:v>
      </x:c>
      <x:c r="D51" s="14">
        <x:v>2.0</x:v>
      </x:c>
      <x:c r="E51" s="14">
        <x:v>4.0</x:v>
      </x:c>
      <x:c r="F51" s="15" t="s">
        <x:v>16</x:v>
      </x:c>
      <x:c r="G51" s="16"/>
      <x:c r="H51" s="17"/>
      <x:c r="I51" s="14">
        <x:f t="shared" si="6"/>
        <x:v>2.166666667</x:v>
      </x:c>
      <x:c r="J51" s="18" t="s">
        <x:v>140</x:v>
      </x:c>
      <x:c r="K51" s="38"/>
    </x:row>
    <x:row r="52" ht="33.75" customHeight="1">
      <x:c r="A52" s="12" t="s">
        <x:v>141</x:v>
      </x:c>
      <x:c r="B52" s="13" t="s">
        <x:v>142</x:v>
      </x:c>
      <x:c r="C52" s="14">
        <x:v>1.0</x:v>
      </x:c>
      <x:c r="D52" s="14">
        <x:v>2.0</x:v>
      </x:c>
      <x:c r="E52" s="14">
        <x:v>3.0</x:v>
      </x:c>
      <x:c r="F52" s="15"/>
      <x:c r="G52" s="16"/>
      <x:c r="H52" s="17" t="s">
        <x:v>16</x:v>
      </x:c>
      <x:c r="I52" s="14">
        <x:f t="shared" si="6"/>
        <x:v>2</x:v>
      </x:c>
      <x:c r="J52" s="18" t="s">
        <x:v>143</x:v>
      </x:c>
      <x:c r="K52" s="38"/>
    </x:row>
    <x:row r="53" ht="21" customHeight="1">
      <x:c r="A53" s="10"/>
      <x:c r="B53" s="11" t="s">
        <x:v>144</x:v>
      </x:c>
      <x:c r="C53" s="8"/>
      <x:c r="D53" s="8"/>
      <x:c r="E53" s="8"/>
      <x:c r="F53" s="8"/>
      <x:c r="G53" s="8"/>
      <x:c r="H53" s="8"/>
      <x:c r="I53" s="8"/>
      <x:c r="J53" s="9"/>
      <x:c r="K53" s="38"/>
    </x:row>
    <x:row r="54" ht="33.75" customHeight="1">
      <x:c r="A54" s="12" t="s">
        <x:v>145</x:v>
      </x:c>
      <x:c r="B54" s="13" t="s">
        <x:v>146</x:v>
      </x:c>
      <x:c r="C54" s="19">
        <x:v>1.0</x:v>
      </x:c>
      <x:c r="D54" s="19">
        <x:v>3.0</x:v>
      </x:c>
      <x:c r="E54" s="19">
        <x:v>4.5</x:v>
      </x:c>
      <x:c r="F54" s="15"/>
      <x:c r="G54" s="16"/>
      <x:c r="H54" s="17" t="s">
        <x:v>16</x:v>
      </x:c>
      <x:c r="I54" s="14" t="n">
        <x:f t="shared" ref="I54:I61" si="7">(C54+4*D54+E54)/6</x:f>
        <x:v>2.9166666666666665</x:v>
      </x:c>
      <x:c r="J54" s="18" t="s">
        <x:v>147</x:v>
      </x:c>
      <x:c r="K54" s="38"/>
    </x:row>
    <x:row r="55" ht="33.75" customHeight="1">
      <x:c r="A55" s="12" t="s">
        <x:v>148</x:v>
      </x:c>
      <x:c r="B55" s="13" t="s">
        <x:v>149</x:v>
      </x:c>
      <x:c r="C55" s="14">
        <x:v>3.0</x:v>
      </x:c>
      <x:c r="D55" s="14">
        <x:v>4.0</x:v>
      </x:c>
      <x:c r="E55" s="14">
        <x:v>5.0</x:v>
      </x:c>
      <x:c r="F55" s="15"/>
      <x:c r="G55" s="16"/>
      <x:c r="H55" s="17" t="s">
        <x:v>16</x:v>
      </x:c>
      <x:c r="I55" s="14">
        <x:f t="shared" si="7"/>
        <x:v>4</x:v>
      </x:c>
      <x:c r="J55" s="18" t="s">
        <x:v>150</x:v>
      </x:c>
      <x:c r="K55" s="38"/>
    </x:row>
    <x:row r="56" ht="33.75" customHeight="1">
      <x:c r="A56" s="12" t="s">
        <x:v>151</x:v>
      </x:c>
      <x:c r="B56" s="13" t="s">
        <x:v>152</x:v>
      </x:c>
      <x:c r="C56" s="14">
        <x:v>2.5</x:v>
      </x:c>
      <x:c r="D56" s="14">
        <x:v>5.0</x:v>
      </x:c>
      <x:c r="E56" s="19">
        <x:v>7.0</x:v>
      </x:c>
      <x:c r="F56" s="15"/>
      <x:c r="G56" s="16" t="s">
        <x:v>16</x:v>
      </x:c>
      <x:c r="H56" s="17"/>
      <x:c r="I56" s="14">
        <x:f t="shared" si="7"/>
        <x:v>4.916666667</x:v>
      </x:c>
      <x:c r="J56" s="18" t="s">
        <x:v>153</x:v>
      </x:c>
      <x:c r="K56" s="38"/>
    </x:row>
    <x:row r="57" ht="33.75" customHeight="1">
      <x:c r="A57" s="12" t="s">
        <x:v>154</x:v>
      </x:c>
      <x:c r="B57" s="13" t="s">
        <x:v>155</x:v>
      </x:c>
      <x:c r="C57" s="19">
        <x:v>1.0</x:v>
      </x:c>
      <x:c r="D57" s="19">
        <x:v>3.0</x:v>
      </x:c>
      <x:c r="E57" s="14">
        <x:v>5.0</x:v>
      </x:c>
      <x:c r="F57" s="15"/>
      <x:c r="G57" s="16"/>
      <x:c r="H57" s="17" t="s">
        <x:v>16</x:v>
      </x:c>
      <x:c r="I57" s="14">
        <x:f t="shared" si="7"/>
        <x:v>3</x:v>
      </x:c>
      <x:c r="J57" s="18" t="s">
        <x:v>156</x:v>
      </x:c>
      <x:c r="K57" s="38"/>
    </x:row>
    <x:row r="58" ht="33.75" customHeight="1">
      <x:c r="A58" s="12" t="s">
        <x:v>157</x:v>
      </x:c>
      <x:c r="B58" s="13" t="s">
        <x:v>158</x:v>
      </x:c>
      <x:c r="C58" s="14">
        <x:v>2.5</x:v>
      </x:c>
      <x:c r="D58" s="14">
        <x:v>5.0</x:v>
      </x:c>
      <x:c r="E58" s="19">
        <x:v>7.0</x:v>
      </x:c>
      <x:c r="F58" s="15"/>
      <x:c r="G58" s="16" t="s">
        <x:v>16</x:v>
      </x:c>
      <x:c r="H58" s="17"/>
      <x:c r="I58" s="14">
        <x:f t="shared" si="7"/>
        <x:v>4.916666667</x:v>
      </x:c>
      <x:c r="J58" s="18" t="s">
        <x:v>159</x:v>
      </x:c>
      <x:c r="K58" s="38"/>
    </x:row>
    <x:row r="59" ht="33.75" customHeight="1">
      <x:c r="A59" s="12" t="s">
        <x:v>160</x:v>
      </x:c>
      <x:c r="B59" s="13" t="s">
        <x:v>161</x:v>
      </x:c>
      <x:c r="C59" s="19">
        <x:v>1.0</x:v>
      </x:c>
      <x:c r="D59" s="19">
        <x:v>2.0</x:v>
      </x:c>
      <x:c r="E59" s="19">
        <x:v>4.0</x:v>
      </x:c>
      <x:c r="F59" s="15"/>
      <x:c r="G59" s="16" t="s">
        <x:v>16</x:v>
      </x:c>
      <x:c r="H59" s="17"/>
      <x:c r="I59" s="14">
        <x:f t="shared" si="7"/>
        <x:v>2.166666667</x:v>
      </x:c>
      <x:c r="J59" s="18" t="s">
        <x:v>162</x:v>
      </x:c>
      <x:c r="K59" s="38"/>
    </x:row>
    <x:row r="60" ht="33.75" customHeight="1">
      <x:c r="A60" s="12" t="s">
        <x:v>163</x:v>
      </x:c>
      <x:c r="B60" s="13" t="s">
        <x:v>164</x:v>
      </x:c>
      <x:c r="C60" s="14">
        <x:v>1.0</x:v>
      </x:c>
      <x:c r="D60" s="14">
        <x:v>2.0</x:v>
      </x:c>
      <x:c r="E60" s="14">
        <x:v>3.0</x:v>
      </x:c>
      <x:c r="F60" s="15"/>
      <x:c r="G60" s="16"/>
      <x:c r="H60" s="17" t="s">
        <x:v>16</x:v>
      </x:c>
      <x:c r="I60" s="14">
        <x:f t="shared" si="7"/>
        <x:v>2</x:v>
      </x:c>
      <x:c r="J60" s="18" t="s">
        <x:v>165</x:v>
      </x:c>
      <x:c r="K60" s="38"/>
    </x:row>
    <x:row r="61" ht="33.75" customHeight="1">
      <x:c r="A61" s="12" t="s">
        <x:v>166</x:v>
      </x:c>
      <x:c r="B61" s="13" t="s">
        <x:v>167</x:v>
      </x:c>
      <x:c r="C61" s="14">
        <x:v>1.5</x:v>
      </x:c>
      <x:c r="D61" s="14">
        <x:v>3.0</x:v>
      </x:c>
      <x:c r="E61" s="14">
        <x:v>4.5</x:v>
      </x:c>
      <x:c r="F61" s="15"/>
      <x:c r="G61" s="16" t="s">
        <x:v>16</x:v>
      </x:c>
      <x:c r="H61" s="17"/>
      <x:c r="I61" s="14">
        <x:f t="shared" si="7"/>
        <x:v>3</x:v>
      </x:c>
      <x:c r="J61" s="18" t="s">
        <x:v>168</x:v>
      </x:c>
      <x:c r="K61" s="38"/>
    </x:row>
    <x:row r="62" ht="21" customHeight="1">
      <x:c r="A62" s="10"/>
      <x:c r="B62" s="11" t="s">
        <x:v>169</x:v>
      </x:c>
      <x:c r="C62" s="8"/>
      <x:c r="D62" s="8"/>
      <x:c r="E62" s="8"/>
      <x:c r="F62" s="8"/>
      <x:c r="G62" s="8"/>
      <x:c r="H62" s="8"/>
      <x:c r="I62" s="8"/>
      <x:c r="J62" s="9"/>
      <x:c r="K62" s="38"/>
    </x:row>
    <x:row r="63" ht="33.75" customHeight="1">
      <x:c r="A63" s="12" t="s">
        <x:v>170</x:v>
      </x:c>
      <x:c r="B63" s="13" t="s">
        <x:v>171</x:v>
      </x:c>
      <x:c r="C63" s="14">
        <x:v>2.5</x:v>
      </x:c>
      <x:c r="D63" s="14">
        <x:v>5.0</x:v>
      </x:c>
      <x:c r="E63" s="14">
        <x:v>7.5</x:v>
      </x:c>
      <x:c r="F63" s="15"/>
      <x:c r="G63" s="16" t="s">
        <x:v>16</x:v>
      </x:c>
      <x:c r="H63" s="17"/>
      <x:c r="I63" s="14" t="n">
        <x:f t="shared" ref="I63:I68" si="8">(C63+4*D63+E63)/6</x:f>
        <x:v>5</x:v>
      </x:c>
      <x:c r="J63" s="18" t="str">
        <x:v>Selenium nas telas atuais: compra, aprovação, despacho, entrega administrativa, expiração e trocas parcial/integral.</x:v>
      </x:c>
      <x:c r="K63" s="38" t="str">
        <x:v>Implementado</x:v>
      </x:c>
    </x:row>
    <x:row r="64" ht="33.75" customHeight="1">
      <x:c r="A64" s="12" t="s">
        <x:v>172</x:v>
      </x:c>
      <x:c r="B64" s="13" t="s">
        <x:v>173</x:v>
      </x:c>
      <x:c r="C64" s="14">
        <x:v>2.0</x:v>
      </x:c>
      <x:c r="D64" s="14">
        <x:v>4.0</x:v>
      </x:c>
      <x:c r="E64" s="14">
        <x:v>8.0</x:v>
      </x:c>
      <x:c r="F64" s="15" t="s">
        <x:v>16</x:v>
      </x:c>
      <x:c r="G64" s="16"/>
      <x:c r="H64" s="17"/>
      <x:c r="I64" s="14">
        <x:f t="shared" si="8"/>
        <x:v>4.333333333</x:v>
      </x:c>
      <x:c r="J64" s="18" t="str">
        <x:v>PostgreSQL via Testcontainers. Docker Linux com conexão verificada; sem substituição por H2.</x:v>
      </x:c>
      <x:c r="K64" s="38" t="str">
        <x:v>Implementado</x:v>
      </x:c>
    </x:row>
    <x:row r="65" ht="33.75" customHeight="1">
      <x:c r="A65" s="12" t="s">
        <x:v>174</x:v>
      </x:c>
      <x:c r="B65" s="13" t="s">
        <x:v>175</x:v>
      </x:c>
      <x:c r="C65" s="19">
        <x:v>1.0</x:v>
      </x:c>
      <x:c r="D65" s="19">
        <x:v>2.0</x:v>
      </x:c>
      <x:c r="E65" s="14">
        <x:v>4.0</x:v>
      </x:c>
      <x:c r="F65" s="15"/>
      <x:c r="G65" s="16"/>
      <x:c r="H65" s="17" t="s">
        <x:v>16</x:v>
      </x:c>
      <x:c r="I65" s="14">
        <x:f t="shared" si="8"/>
        <x:v>2.166666667</x:v>
      </x:c>
      <x:c r="J65" s="18" t="str">
        <x:v>Aceitação manual do grupo e conferência dos relatórios atuais. Não marcar execução humana sem realizá-la.</x:v>
      </x:c>
      <x:c r="K65" s="38" t="str">
        <x:v>Aceitação pendente</x:v>
      </x:c>
    </x:row>
    <x:row r="66" ht="33.75" customHeight="1">
      <x:c r="A66" s="12" t="s">
        <x:v>176</x:v>
      </x:c>
      <x:c r="B66" s="13" t="s">
        <x:v>177</x:v>
      </x:c>
      <x:c r="C66" s="19">
        <x:v>1.0</x:v>
      </x:c>
      <x:c r="D66" s="19">
        <x:v>2.0</x:v>
      </x:c>
      <x:c r="E66" s="19">
        <x:v>3.0</x:v>
      </x:c>
      <x:c r="F66" s="15"/>
      <x:c r="G66" s="16"/>
      <x:c r="H66" s="17" t="s">
        <x:v>16</x:v>
      </x:c>
      <x:c r="I66" s="14">
        <x:f t="shared" si="8"/>
        <x:v>2</x:v>
      </x:c>
      <x:c r="J66" s="18" t="s">
        <x:v>178</x:v>
      </x:c>
      <x:c r="K66" s="38"/>
    </x:row>
    <x:row r="67" ht="33.75" customHeight="1">
      <x:c r="A67" s="12" t="s">
        <x:v>179</x:v>
      </x:c>
      <x:c r="B67" s="22" t="s">
        <x:v>180</x:v>
      </x:c>
      <x:c r="C67" s="19">
        <x:v>1.0</x:v>
      </x:c>
      <x:c r="D67" s="19">
        <x:v>2.0</x:v>
      </x:c>
      <x:c r="E67" s="19">
        <x:v>3.0</x:v>
      </x:c>
      <x:c r="F67" s="15"/>
      <x:c r="G67" s="16" t="s">
        <x:v>16</x:v>
      </x:c>
      <x:c r="H67" s="17"/>
      <x:c r="I67" s="14">
        <x:f t="shared" si="8"/>
        <x:v>2</x:v>
      </x:c>
      <x:c r="J67" s="18" t="s">
        <x:v>181</x:v>
      </x:c>
      <x:c r="K67" s="38"/>
    </x:row>
    <x:row r="68" ht="33.75" customHeight="1">
      <x:c r="A68" s="12" t="s">
        <x:v>182</x:v>
      </x:c>
      <x:c r="B68" s="13" t="s">
        <x:v>183</x:v>
      </x:c>
      <x:c r="C68" s="19">
        <x:v>2.0</x:v>
      </x:c>
      <x:c r="D68" s="19">
        <x:v>3.0</x:v>
      </x:c>
      <x:c r="E68" s="19">
        <x:v>4.0</x:v>
      </x:c>
      <x:c r="F68" s="15"/>
      <x:c r="G68" s="16"/>
      <x:c r="H68" s="17" t="s">
        <x:v>16</x:v>
      </x:c>
      <x:c r="I68" s="14">
        <x:f t="shared" si="8"/>
        <x:v>3</x:v>
      </x:c>
      <x:c r="J68" s="18" t="s">
        <x:v>184</x:v>
      </x:c>
      <x:c r="K68" s="38"/>
    </x:row>
    <x:row r="69" ht="15.75" customHeight="1">
      <x:c r="C69" s="24"/>
      <x:c r="D69" s="24"/>
      <x:c r="E69" s="24"/>
      <x:c r="I69" s="24"/>
      <x:c r="K69" s="38"/>
    </x:row>
    <x:row r="70" ht="15.75" customHeight="1">
      <x:c r="A70" s="25" t="s">
        <x:v>185</x:v>
      </x:c>
      <x:c r="B70" s="26"/>
      <x:c r="C70" s="27" t="n">
        <x:f t="shared" ref="C70:E70" si="9">SUM(C5:C68)</x:f>
        <x:v>97</x:v>
      </x:c>
      <x:c r="D70" s="27">
        <x:f t="shared" si="9"/>
        <x:v>189.5</x:v>
      </x:c>
      <x:c r="E70" s="27">
        <x:f t="shared" si="9"/>
        <x:v>291</x:v>
      </x:c>
      <x:c r="F70" s="25"/>
      <x:c r="G70" s="25"/>
      <x:c r="H70" s="25"/>
      <x:c r="I70" s="27" t="n">
        <x:f>SUM(I5:I68)</x:f>
        <x:v>191.00000000199998</x:v>
      </x:c>
      <x:c r="J70" s="25" t="s">
        <x:v>186</x:v>
      </x:c>
      <x:c r="K70" s="38"/>
    </x:row>
    <x:row r="71" ht="15.75" customHeight="1">
      <x:c r="A71" s="28" t="s">
        <x:v>187</x:v>
      </x:c>
      <x:c r="B71" s="29"/>
      <x:c r="C71" s="29"/>
      <x:c r="D71" s="29"/>
      <x:c r="E71" s="29"/>
      <x:c r="F71" s="29"/>
      <x:c r="G71" s="29"/>
      <x:c r="H71" s="29"/>
      <x:c r="I71" s="30" t="n">
        <x:f>I70*15%</x:f>
        <x:v>28.650000000299997</x:v>
      </x:c>
      <x:c r="J71" s="31" t="s">
        <x:v>188</x:v>
      </x:c>
      <x:c r="K71" s="38"/>
    </x:row>
    <x:row r="72" ht="15.75" customHeight="1">
      <x:c r="A72" s="32" t="s">
        <x:v>189</x:v>
      </x:c>
      <x:c r="B72" s="33"/>
      <x:c r="C72" s="33"/>
      <x:c r="D72" s="33"/>
      <x:c r="E72" s="33"/>
      <x:c r="F72" s="33"/>
      <x:c r="G72" s="33"/>
      <x:c r="H72" s="33"/>
      <x:c r="I72" s="34" t="n">
        <x:f>I70+I71</x:f>
        <x:v>219.65000000229998</x:v>
      </x:c>
      <x:c r="J72" s="35" t="s">
        <x:v>190</x:v>
      </x:c>
      <x:c r="K72" s="38"/>
    </x:row>
    <x:row r="73" ht="15.75" customHeight="1"/>
    <x:row r="74" ht="15.75" customHeight="1"/>
    <x:row r="75" ht="15.75" customHeight="1">
      <x:c r="B75" s="39" t="str">
        <x:v>Esforço restante do UC05 em horas</x:v>
      </x:c>
    </x:row>
    <x:row r="76" ht="15.75" customHeight="1"/>
    <x:row r="77" ht="15.75" customHeight="1">
      <x:c r="A77" s="6" t="s">
        <x:v>5</x:v>
      </x:c>
      <x:c r="B77" s="6" t="s">
        <x:v>6</x:v>
      </x:c>
      <x:c r="C77" s="6" t="s">
        <x:v>7</x:v>
      </x:c>
      <x:c r="D77" s="6" t="s">
        <x:v>8</x:v>
      </x:c>
      <x:c r="E77" s="6" t="s">
        <x:v>9</x:v>
      </x:c>
      <x:c r="F77" s="7" t="s">
        <x:v>10</x:v>
      </x:c>
      <x:c r="G77" s="8"/>
      <x:c r="H77" s="9"/>
      <x:c r="I77" s="6" t="s">
        <x:v>11</x:v>
      </x:c>
      <x:c r="J77" s="6" t="s">
        <x:v>12</x:v>
      </x:c>
      <x:c r="K77" s="6" t="str">
        <x:v>Situação UC05</x:v>
      </x:c>
    </x:row>
    <x:row r="78" ht="38" customHeight="1">
      <x:c r="A78" s="40" t="str">
        <x:v>REST-01</x:v>
      </x:c>
      <x:c r="B78" s="38" t="str">
        <x:v>Aceitação manual pelo grupo</x:v>
      </x:c>
      <x:c r="C78" s="41" t="n">
        <x:v>1</x:v>
      </x:c>
      <x:c r="D78" s="41" t="n">
        <x:v>2</x:v>
      </x:c>
      <x:c r="E78" s="41" t="n">
        <x:v>3</x:v>
      </x:c>
      <x:c r="F78" s="41"/>
      <x:c r="G78" s="41"/>
      <x:c r="H78" s="41"/>
      <x:c r="I78" s="41" t="n">
        <x:f>(C78+4*D78+E78)/6</x:f>
        <x:v>2</x:v>
      </x:c>
      <x:c r="J78" s="38" t="str">
        <x:v>Executores. Roteiro UC05 e decisão de aceite do grupo.</x:v>
      </x:c>
      <x:c r="K78" s="38" t="str">
        <x:v>Pendente</x:v>
      </x:c>
    </x:row>
    <x:row r="79" ht="38" customHeight="1">
      <x:c r="A79" s="40" t="str">
        <x:v>REST-02</x:v>
      </x:c>
      <x:c r="B79" s="38" t="str">
        <x:v>Revisão dos entregáveis</x:v>
      </x:c>
      <x:c r="C79" s="41" t="n">
        <x:v>0.5</x:v>
      </x:c>
      <x:c r="D79" s="41" t="n">
        <x:v>1</x:v>
      </x:c>
      <x:c r="E79" s="41" t="n">
        <x:v>2</x:v>
      </x:c>
      <x:c r="F79" s="41"/>
      <x:c r="G79" s="41"/>
      <x:c r="H79" s="41"/>
      <x:c r="I79" s="41" t="n">
        <x:f>(C79+4*D79+E79)/6</x:f>
        <x:v>1.0833333333333333</x:v>
      </x:c>
      <x:c r="J79" s="38" t="str">
        <x:v>Líder do grupo. Conferir evidências e revisão acadêmica.</x:v>
      </x:c>
      <x:c r="K79" s="38" t="str">
        <x:v>Pendente</x:v>
      </x:c>
    </x:row>
    <x:row r="80" ht="38" customHeight="1">
      <x:c r="A80" s="40" t="str">
        <x:v>REST-03</x:v>
      </x:c>
      <x:c r="B80" s="38" t="str">
        <x:v>Comunicar e validar ambiguidades</x:v>
      </x:c>
      <x:c r="C80" s="41" t="n">
        <x:v>0.5</x:v>
      </x:c>
      <x:c r="D80" s="41" t="n">
        <x:v>1</x:v>
      </x:c>
      <x:c r="E80" s="41" t="n">
        <x:v>2</x:v>
      </x:c>
      <x:c r="F80" s="41"/>
      <x:c r="G80" s="41"/>
      <x:c r="H80" s="41"/>
      <x:c r="I80" s="41" t="n">
        <x:f>(C80+4*D80+E80)/6</x:f>
        <x:v>1.0833333333333333</x:v>
      </x:c>
      <x:c r="J80" s="38" t="str">
        <x:v>Analista de requisitos. Prazo de resposta do professor não estimado.</x:v>
      </x:c>
      <x:c r="K80" s="38" t="str">
        <x:v>Pendente</x:v>
      </x:c>
    </x:row>
    <x:row r="81" ht="15.75" customHeight="1">
      <x:c r="B81" s="43" t="str">
        <x:v>Total de esforço restante (h)</x:v>
      </x:c>
      <x:c r="C81" s="44"/>
      <x:c r="D81" s="44"/>
      <x:c r="E81" s="44"/>
      <x:c r="F81" s="44"/>
      <x:c r="G81" s="44"/>
      <x:c r="H81" s="44"/>
      <x:c r="I81" s="44" t="n">
        <x:f>SUM(I78:I80)</x:f>
        <x:v>4.166666666666666</x:v>
      </x:c>
    </x:row>
    <x:row r="82" ht="15.75" customHeight="1"/>
    <x:row r="83" ht="15.75" customHeight="1">
      <x:c r="B83" s="45" t="str">
        <x:v>Estimativas futuras. Não representam horas gastas.</x:v>
      </x:c>
      <x:c r="C83" s="45"/>
      <x:c r="D83" s="45"/>
      <x:c r="E83" s="45"/>
      <x:c r="F83" s="45"/>
      <x:c r="G83" s="45"/>
      <x:c r="H83" s="45"/>
      <x:c r="I83" s="45"/>
      <x:c r="J83" s="45"/>
    </x:row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B44:J44"/>
    <x:mergeCell ref="B53:J53"/>
    <x:mergeCell ref="B62:J62"/>
    <x:mergeCell ref="A70:B70"/>
    <x:mergeCell ref="A71:H71"/>
    <x:mergeCell ref="A72:H72"/>
    <x:mergeCell ref="A1:J1"/>
    <x:mergeCell ref="F3:H3"/>
    <x:mergeCell ref="B4:J4"/>
    <x:mergeCell ref="B11:J11"/>
    <x:mergeCell ref="B18:J18"/>
    <x:mergeCell ref="B26:J26"/>
    <x:mergeCell ref="B36:J36"/>
  </x:mergeCells>
  <x:pageMargins left="0.7" right="0.7" top="0.75" bottom="0.75" header="0.3" footer="0.3"/>
</x:worksheet>
</file>